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2911319cd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9d89b4df964c19"/>
  </x:sheets>
</x:workbook>
</file>

<file path=xl/sharedStrings.xml><?xml version="1.0" encoding="utf-8"?>
<x:sst xmlns:x="http://schemas.openxmlformats.org/spreadsheetml/2006/main">
  <x:si>
    <x:t xml:space="preserve">IMAGES</x:t>
  </x:si>
  <x:si>
    <x:t xml:space="preserve">ITEM</x:t>
  </x:si>
  <x:si>
    <x:t xml:space="preserve">METAL</x:t>
  </x:si>
  <x:si>
    <x:t xml:space="preserve">KARAT</x:t>
  </x:si>
  <x:si>
    <x:t xml:space="preserve">METAL COLOUR</x:t>
  </x:si>
  <x:si>
    <x:t xml:space="preserve">GOLD WT.</x:t>
  </x:si>
  <x:si>
    <x:t xml:space="preserve">RATES</x:t>
  </x:si>
  <x:si>
    <x:t xml:space="preserve">DIA. WT.</x:t>
  </x:si>
  <x:si>
    <x:t xml:space="preserve">DIA. PIECES</x:t>
  </x:si>
  <x:si>
    <x:t xml:space="preserve">DIA. RATE</x:t>
  </x:si>
  <x:si>
    <x:t xml:space="preserve">GOLD VALUE</x:t>
  </x:si>
  <x:si>
    <x:t xml:space="preserve">Di. VALUE</x:t>
  </x:si>
  <x:si>
    <x:t xml:space="preserve">MAKING</x:t>
  </x:si>
  <x:si>
    <x:t xml:space="preserve">SUB-TOTAL</x:t>
  </x:si>
  <x:si>
    <x:t xml:space="preserve">GST</x:t>
  </x:si>
  <x:si>
    <x:t xml:space="preserve">FINAL RATE</x:t>
  </x:si>
  <x:si>
    <x:t xml:space="preserve">LR-0051</x:t>
  </x:si>
  <x:si>
    <x:t xml:space="preserve">925 Silver</x:t>
  </x:si>
  <x:si>
    <x:t xml:space="preserve">925</x:t>
  </x:si>
  <x:si>
    <x:t xml:space="preserve">Rose / White / Yellow</x:t>
  </x:si>
  <x:si>
    <x:t xml:space="preserve">Gold</x:t>
  </x:si>
  <x:si>
    <x:t xml:space="preserve">9K</x:t>
  </x:si>
  <x:si>
    <x:t xml:space="preserve">14K</x:t>
  </x:si>
  <x:si>
    <x:t xml:space="preserve">18K</x:t>
  </x:si>
  <x:si>
    <x:t xml:space="preserve">LR-0052</x:t>
  </x:si>
  <x:si>
    <x:t xml:space="preserve">LR-0054</x:t>
  </x:si>
  <x:si>
    <x:t xml:space="preserve">LR-0055</x:t>
  </x:si>
  <x:si>
    <x:t xml:space="preserve">LR-0057</x:t>
  </x:si>
  <x:si>
    <x:t xml:space="preserve">LR-0058</x:t>
  </x:si>
  <x:si>
    <x:t xml:space="preserve">LR-0069</x:t>
  </x:si>
  <x:si>
    <x:t xml:space="preserve">LR-0071</x:t>
  </x:si>
  <x:si>
    <x:t xml:space="preserve">LR-0090</x:t>
  </x:si>
  <x:si>
    <x:t xml:space="preserve">LR-0094</x:t>
  </x:si>
  <x:si>
    <x:t xml:space="preserve">LR-0095</x:t>
  </x:si>
  <x:si>
    <x:t xml:space="preserve">LR-0096</x:t>
  </x:si>
  <x:si>
    <x:t xml:space="preserve">LR-0097</x:t>
  </x:si>
  <x:si>
    <x:t xml:space="preserve">LR-0111</x:t>
  </x:si>
  <x:si>
    <x:t xml:space="preserve">LR-0112</x:t>
  </x:si>
  <x:si>
    <x:t xml:space="preserve">LR-0113</x:t>
  </x:si>
  <x:si>
    <x:t xml:space="preserve">LR-0154</x:t>
  </x:si>
  <x:si>
    <x:t xml:space="preserve">LR-0171</x:t>
  </x:si>
  <x:si>
    <x:t xml:space="preserve">LR-0172</x:t>
  </x:si>
  <x:si>
    <x:t xml:space="preserve">LR-0173</x:t>
  </x:si>
  <x:si>
    <x:t xml:space="preserve">LR-0174</x:t>
  </x:si>
  <x:si>
    <x:t xml:space="preserve">LR-0175</x:t>
  </x:si>
  <x:si>
    <x:t xml:space="preserve">LR-0176</x:t>
  </x:si>
  <x:si>
    <x:t xml:space="preserve">LR-0206</x:t>
  </x:si>
  <x:si>
    <x:t xml:space="preserve">LR-0208</x:t>
  </x:si>
  <x:si>
    <x:t xml:space="preserve">GLBR-0002</x:t>
  </x:si>
  <x:si>
    <x:t xml:space="preserve">GLBR-0005</x:t>
  </x:si>
  <x:si>
    <x:t xml:space="preserve">GLBR-0006</x:t>
  </x:si>
  <x:si>
    <x:t xml:space="preserve">GLBR-0016</x:t>
  </x:si>
  <x:si>
    <x:t xml:space="preserve">GLBR-0042</x:t>
  </x:si>
  <x:si>
    <x:t xml:space="preserve">GLBR-0045</x:t>
  </x:si>
  <x:si>
    <x:t xml:space="preserve">GLBR-0048</x:t>
  </x:si>
  <x:si>
    <x:t xml:space="preserve">GLBR-0068</x:t>
  </x:si>
  <x:si>
    <x:t xml:space="preserve">GLBR-0086</x:t>
  </x:si>
  <x:si>
    <x:t xml:space="preserve">GLBR-0099</x:t>
  </x:si>
  <x:si>
    <x:t xml:space="preserve">GLBR-0111</x:t>
  </x:si>
  <x:si>
    <x:t xml:space="preserve">GLBR-0112</x:t>
  </x:si>
  <x:si>
    <x:t xml:space="preserve">GLBR-0113</x:t>
  </x:si>
  <x:si>
    <x:t xml:space="preserve">GLBR-0116</x:t>
  </x:si>
  <x:si>
    <x:t xml:space="preserve">42#360006N</x:t>
  </x:si>
  <x:si>
    <x:t xml:space="preserve">42#360007N</x:t>
  </x:si>
  <x:si>
    <x:t xml:space="preserve">42#360008N</x:t>
  </x:si>
  <x:si>
    <x:t xml:space="preserve">42#360009N</x:t>
  </x:si>
  <x:si>
    <x:t xml:space="preserve">42#360010N</x:t>
  </x:si>
  <x:si>
    <x:t xml:space="preserve">42#360011N</x:t>
  </x:si>
  <x:si>
    <x:t xml:space="preserve">42#360012N</x:t>
  </x:si>
  <x:si>
    <x:t xml:space="preserve">PND-0001</x:t>
  </x:si>
  <x:si>
    <x:t xml:space="preserve">PND-0002</x:t>
  </x:si>
  <x:si>
    <x:t xml:space="preserve">PND-0003</x:t>
  </x:si>
  <x:si>
    <x:t xml:space="preserve">PND-0004</x:t>
  </x:si>
</x:sst>
</file>

<file path=xl/styles.xml><?xml version="1.0" encoding="utf-8"?>
<x:styleSheet xmlns:x="http://schemas.openxmlformats.org/spreadsheetml/2006/main">
  <x:numFmts count="2">
    <x:numFmt numFmtId="164" formatCode="0.000"/>
    <x:numFmt numFmtId="200" formatCode="#,##0"/>
  </x:numFmts>
  <x:fonts count="3">
    <x:font>
      <x:sz val="11"/>
      <x:color theme="1"/>
      <x:name val="Calibri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A1612"/>
      </x:patternFill>
    </x:fill>
  </x:fills>
  <x:borders count="4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right style="thin">
        <x:color rgb="FFD0D0D0"/>
      </x:right>
    </x:border>
    <x:border>
      <x:left style="thin">
        <x:color rgb="FFD0D0D0"/>
      </x:left>
      <x:right style="thin">
        <x:color rgb="FFD0D0D0"/>
      </x:right>
      <x:bottom style="thin">
        <x:color rgb="FFD0D0D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164" fontId="2" fillId="0" borderId="1" xfId="0" applyNumberFormat="1" applyFont="1" applyBorder="1" applyAlignment="1">
      <x:alignment horizontal="center" vertical="center" wrapText="1"/>
    </x:xf>
    <x:xf numFmtId="164" fontId="2" fillId="0" borderId="1" xfId="0" applyNumberFormat="1" applyFont="1" applyBorder="1" applyAlignment="1">
      <x:alignment horizontal="center" vertical="center"/>
    </x:xf>
    <x:xf numFmtId="164" fontId="2" fillId="0" borderId="2" xfId="0" applyNumberFormat="1" applyFont="1" applyBorder="1" applyAlignment="1">
      <x:alignment horizontal="center" vertical="center" wrapText="1"/>
    </x:xf>
    <x:xf numFmtId="0" fontId="0" fillId="0" borderId="2" xfId="0" applyBorder="1"/>
    <x:xf numFmtId="164" fontId="2" fillId="0" borderId="3" xfId="0" applyNumberFormat="1" applyFont="1" applyBorder="1" applyAlignment="1">
      <x:alignment horizontal="center" vertical="center" wrapText="1"/>
    </x:xf>
    <x:xf numFmtId="0" fontId="0" fillId="0" borderId="3" xfId="0" applyBorder="1"/>
    <x:xf numFmtId="0" fontId="2" fillId="0" borderId="1" xfId="0" applyFont="1" applyBorder="1" applyAlignment="1">
      <x:alignment horizontal="center" vertical="center" wrapText="1"/>
    </x:xf>
    <x:xf numFmtId="0" fontId="0" fillId="0" borderId="2" xfId="0" applyBorder="1"/>
    <x:xf numFmtId="0" fontId="0" fillId="0" borderId="3" xfId="0" applyBorder="1"/>
    <x:xf numFmtId="164" fontId="2" fillId="0" borderId="1" xfId="0" applyNumberFormat="1" applyFont="1" applyBorder="1" applyAlignment="1">
      <x:alignment horizontal="center" vertical="center"/>
    </x:xf>
    <x:xf numFmtId="164" fontId="2" fillId="0" borderId="1" xfId="0" applyNumberFormat="1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/>
    <x:xf numFmtId="200" fontId="2" fillId="0" borderId="3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/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1A1612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79f3be29a4b96" /><Relationship Type="http://schemas.openxmlformats.org/officeDocument/2006/relationships/theme" Target="/xl/theme/theme1.xml" Id="Rbe4c6b5776a14f75" /><Relationship Type="http://schemas.openxmlformats.org/officeDocument/2006/relationships/sharedStrings" Target="/xl/sharedStrings.xml" Id="R12d62412f5514564" /><Relationship Type="http://schemas.openxmlformats.org/officeDocument/2006/relationships/worksheet" Target="/xl/worksheets/sheet1.xml" Id="Rb59d89b4df964c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b5873ff0f734642" /><Relationship Type="http://schemas.openxmlformats.org/officeDocument/2006/relationships/image" Target="/xl/media/image2.png" Id="R6defaf87b51f4b79" /><Relationship Type="http://schemas.openxmlformats.org/officeDocument/2006/relationships/image" Target="/xl/media/image3.png" Id="R4b24c15a4a084f90" /><Relationship Type="http://schemas.openxmlformats.org/officeDocument/2006/relationships/image" Target="/xl/media/image4.png" Id="Rcf24e7db81a442d9" /><Relationship Type="http://schemas.openxmlformats.org/officeDocument/2006/relationships/image" Target="/xl/media/image5.png" Id="R45f0fe26c9de41f6" /><Relationship Type="http://schemas.openxmlformats.org/officeDocument/2006/relationships/image" Target="/xl/media/image6.png" Id="Re352e680910b45fb" /><Relationship Type="http://schemas.openxmlformats.org/officeDocument/2006/relationships/image" Target="/xl/media/image7.png" Id="R3a84b3b7b6b6455d" /><Relationship Type="http://schemas.openxmlformats.org/officeDocument/2006/relationships/image" Target="/xl/media/image8.png" Id="Rdd9bd17c863c47b5" /><Relationship Type="http://schemas.openxmlformats.org/officeDocument/2006/relationships/image" Target="/xl/media/image9.png" Id="Rbf5095d61386418b" /><Relationship Type="http://schemas.openxmlformats.org/officeDocument/2006/relationships/image" Target="/xl/media/image10.png" Id="Rfda8a5b50cb74e3c" /><Relationship Type="http://schemas.openxmlformats.org/officeDocument/2006/relationships/image" Target="/xl/media/image11.png" Id="Rba59046d11754662" /><Relationship Type="http://schemas.openxmlformats.org/officeDocument/2006/relationships/image" Target="/xl/media/image12.png" Id="Rb3d8ac38bd2b42db" /><Relationship Type="http://schemas.openxmlformats.org/officeDocument/2006/relationships/image" Target="/xl/media/image13.png" Id="R1015ea0311154236" /><Relationship Type="http://schemas.openxmlformats.org/officeDocument/2006/relationships/image" Target="/xl/media/image14.png" Id="R9bc6c4601d914314" /><Relationship Type="http://schemas.openxmlformats.org/officeDocument/2006/relationships/image" Target="/xl/media/image15.png" Id="R9902e996908d40e6" /><Relationship Type="http://schemas.openxmlformats.org/officeDocument/2006/relationships/image" Target="/xl/media/image16.png" Id="Raaafcbe1fe5f450e" /><Relationship Type="http://schemas.openxmlformats.org/officeDocument/2006/relationships/image" Target="/xl/media/image17.png" Id="Rcc5d8e6b651d4944" /><Relationship Type="http://schemas.openxmlformats.org/officeDocument/2006/relationships/image" Target="/xl/media/image18.png" Id="R1448bf43bd654e03" /><Relationship Type="http://schemas.openxmlformats.org/officeDocument/2006/relationships/image" Target="/xl/media/image19.png" Id="R1288924d7de24637" /><Relationship Type="http://schemas.openxmlformats.org/officeDocument/2006/relationships/image" Target="/xl/media/image20.png" Id="Re57955066165435f" /><Relationship Type="http://schemas.openxmlformats.org/officeDocument/2006/relationships/image" Target="/xl/media/image21.png" Id="R3589c629f3504741" /><Relationship Type="http://schemas.openxmlformats.org/officeDocument/2006/relationships/image" Target="/xl/media/image22.png" Id="Rba9ca8a32f6c45c6" /><Relationship Type="http://schemas.openxmlformats.org/officeDocument/2006/relationships/image" Target="/xl/media/image23.png" Id="Re031cb1b945f402b" /><Relationship Type="http://schemas.openxmlformats.org/officeDocument/2006/relationships/image" Target="/xl/media/image24.png" Id="Rb8a873e242c84f47" /><Relationship Type="http://schemas.openxmlformats.org/officeDocument/2006/relationships/image" Target="/xl/media/image25.png" Id="R563e4467a7e646cb" /><Relationship Type="http://schemas.openxmlformats.org/officeDocument/2006/relationships/image" Target="/xl/media/image26.png" Id="R7959e03d58eb4877" /><Relationship Type="http://schemas.openxmlformats.org/officeDocument/2006/relationships/image" Target="/xl/media/image27.png" Id="R732cf79ab39b4d0e" /><Relationship Type="http://schemas.openxmlformats.org/officeDocument/2006/relationships/image" Target="/xl/media/image28.png" Id="Rd8a0ed4952574615" /><Relationship Type="http://schemas.openxmlformats.org/officeDocument/2006/relationships/image" Target="/xl/media/image29.png" Id="R4d22d255e6244de4" /><Relationship Type="http://schemas.openxmlformats.org/officeDocument/2006/relationships/image" Target="/xl/media/image30.png" Id="R0f5876caf3b942db" /><Relationship Type="http://schemas.openxmlformats.org/officeDocument/2006/relationships/image" Target="/xl/media/image31.png" Id="Rfc1fa31872d142ef" /><Relationship Type="http://schemas.openxmlformats.org/officeDocument/2006/relationships/image" Target="/xl/media/image32.png" Id="R587be33233cb4c4a" /><Relationship Type="http://schemas.openxmlformats.org/officeDocument/2006/relationships/image" Target="/xl/media/image33.png" Id="R884fb3941a4b4ba6" /><Relationship Type="http://schemas.openxmlformats.org/officeDocument/2006/relationships/image" Target="/xl/media/image34.png" Id="R518c4747e3c24cdb" /><Relationship Type="http://schemas.openxmlformats.org/officeDocument/2006/relationships/image" Target="/xl/media/image35.png" Id="R9a4b0a919c78432f" /><Relationship Type="http://schemas.openxmlformats.org/officeDocument/2006/relationships/image" Target="/xl/media/image36.png" Id="Re03130957d094c3f" /><Relationship Type="http://schemas.openxmlformats.org/officeDocument/2006/relationships/image" Target="/xl/media/image37.png" Id="R8d500f7940fb452b" /><Relationship Type="http://schemas.openxmlformats.org/officeDocument/2006/relationships/image" Target="/xl/media/image38.png" Id="R3bfe43625fd04ae0" /><Relationship Type="http://schemas.openxmlformats.org/officeDocument/2006/relationships/image" Target="/xl/media/image39.png" Id="Rd58e517b125a467d" /><Relationship Type="http://schemas.openxmlformats.org/officeDocument/2006/relationships/image" Target="/xl/media/image40.png" Id="Rc85e2add11074847" /><Relationship Type="http://schemas.openxmlformats.org/officeDocument/2006/relationships/image" Target="/xl/media/image41.png" Id="Rc81ff7e9f9104197" /><Relationship Type="http://schemas.openxmlformats.org/officeDocument/2006/relationships/image" Target="/xl/media/image42.png" Id="Rb6d2b58f48c24a3e" /><Relationship Type="http://schemas.openxmlformats.org/officeDocument/2006/relationships/image" Target="/xl/media/image43.png" Id="R5bb63f90af4a44ea" /><Relationship Type="http://schemas.openxmlformats.org/officeDocument/2006/relationships/image" Target="/xl/media/image44.png" Id="Rbc318d8d010145a1" /><Relationship Type="http://schemas.openxmlformats.org/officeDocument/2006/relationships/image" Target="/xl/media/image45.png" Id="Rb6a92affd2f24f7b" /><Relationship Type="http://schemas.openxmlformats.org/officeDocument/2006/relationships/image" Target="/xl/media/image46.png" Id="Raf3199c0d1314b19" /><Relationship Type="http://schemas.openxmlformats.org/officeDocument/2006/relationships/image" Target="/xl/media/image47.png" Id="R8bd688053aef4b9a" /><Relationship Type="http://schemas.openxmlformats.org/officeDocument/2006/relationships/image" Target="/xl/media/image48.png" Id="R39ae3b6922634617" /><Relationship Type="http://schemas.openxmlformats.org/officeDocument/2006/relationships/image" Target="/xl/media/image49.png" Id="R5ce95a74834140fb" /><Relationship Type="http://schemas.openxmlformats.org/officeDocument/2006/relationships/image" Target="/xl/media/image50.png" Id="R2afb78c6b7364d7d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0</xdr:col>
      <xdr:colOff>875880</xdr:colOff>
      <xdr:row>3</xdr:row>
      <xdr:rowOff>266400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5873ff0f7346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875880</xdr:colOff>
      <xdr:row>7</xdr:row>
      <xdr:rowOff>266400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efaf87b51f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875880</xdr:colOff>
      <xdr:row>11</xdr:row>
      <xdr:rowOff>266040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24c15a4a084f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875880</xdr:colOff>
      <xdr:row>15</xdr:row>
      <xdr:rowOff>266400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24e7db81a442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875880</xdr:colOff>
      <xdr:row>19</xdr:row>
      <xdr:rowOff>266400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f0fe26c9de41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875880</xdr:colOff>
      <xdr:row>23</xdr:row>
      <xdr:rowOff>266040</xdr:rowOff>
    </xdr:to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52e680910b45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875880</xdr:colOff>
      <xdr:row>27</xdr:row>
      <xdr:rowOff>266400</xdr:rowOff>
    </xdr:to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4b3b7b6b645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875880</xdr:colOff>
      <xdr:row>31</xdr:row>
      <xdr:rowOff>266400</xdr:rowOff>
    </xdr:to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9bd17c863c47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875880</xdr:colOff>
      <xdr:row>35</xdr:row>
      <xdr:rowOff>266040</xdr:rowOff>
    </xdr:to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5095d6138641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875880</xdr:colOff>
      <xdr:row>39</xdr:row>
      <xdr:rowOff>266400</xdr:rowOff>
    </xdr:to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a8a5b50cb7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875880</xdr:colOff>
      <xdr:row>43</xdr:row>
      <xdr:rowOff>266400</xdr:rowOff>
    </xdr:to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59046d117546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875880</xdr:colOff>
      <xdr:row>47</xdr:row>
      <xdr:rowOff>266040</xdr:rowOff>
    </xdr:to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d8ac38bd2b42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875880</xdr:colOff>
      <xdr:row>51</xdr:row>
      <xdr:rowOff>266400</xdr:rowOff>
    </xdr:to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15ea03111542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875880</xdr:colOff>
      <xdr:row>55</xdr:row>
      <xdr:rowOff>266400</xdr:rowOff>
    </xdr:to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c6c4601d9143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875880</xdr:colOff>
      <xdr:row>59</xdr:row>
      <xdr:rowOff>266040</xdr:rowOff>
    </xdr:to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02e996908d40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875880</xdr:colOff>
      <xdr:row>63</xdr:row>
      <xdr:rowOff>266400</xdr:rowOff>
    </xdr:to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afcbe1fe5f45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875880</xdr:colOff>
      <xdr:row>67</xdr:row>
      <xdr:rowOff>266400</xdr:rowOff>
    </xdr:to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d8e6b651d49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875880</xdr:colOff>
      <xdr:row>71</xdr:row>
      <xdr:rowOff>266040</xdr:rowOff>
    </xdr:to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48bf43bd654e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875880</xdr:colOff>
      <xdr:row>75</xdr:row>
      <xdr:rowOff>266400</xdr:rowOff>
    </xdr:to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88924d7de246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875880</xdr:colOff>
      <xdr:row>79</xdr:row>
      <xdr:rowOff>266400</xdr:rowOff>
    </xdr:to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795506616543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875880</xdr:colOff>
      <xdr:row>83</xdr:row>
      <xdr:rowOff>266040</xdr:rowOff>
    </xdr:to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89c629f35047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875880</xdr:colOff>
      <xdr:row>87</xdr:row>
      <xdr:rowOff>266400</xdr:rowOff>
    </xdr:to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9ca8a32f6c45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875880</xdr:colOff>
      <xdr:row>91</xdr:row>
      <xdr:rowOff>266400</xdr:rowOff>
    </xdr:to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31cb1b945f40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875880</xdr:colOff>
      <xdr:row>95</xdr:row>
      <xdr:rowOff>266040</xdr:rowOff>
    </xdr:to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a873e242c84f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875880</xdr:colOff>
      <xdr:row>99</xdr:row>
      <xdr:rowOff>266400</xdr:rowOff>
    </xdr:to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3e4467a7e646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0</xdr:col>
      <xdr:colOff>0</xdr:colOff>
      <xdr:row>101</xdr:row>
      <xdr:rowOff>0</xdr:rowOff>
    </xdr:from>
    <xdr:ext cx="952500" cy="53340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59e03d58eb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105</xdr:row>
      <xdr:rowOff>0</xdr:rowOff>
    </xdr:from>
    <xdr:ext cx="952500" cy="53340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2cf79ab39b4d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109</xdr:row>
      <xdr:rowOff>0</xdr:rowOff>
    </xdr:from>
    <xdr:ext cx="952500" cy="53340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a0ed49525746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113</xdr:row>
      <xdr:rowOff>0</xdr:rowOff>
    </xdr:from>
    <xdr:ext cx="876300" cy="87630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22d255e6244d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117</xdr:row>
      <xdr:rowOff>0</xdr:rowOff>
    </xdr:from>
    <xdr:ext cx="952500" cy="53340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5876caf3b942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121</xdr:row>
      <xdr:rowOff>0</xdr:rowOff>
    </xdr:from>
    <xdr:ext cx="952500" cy="533400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1fa31872d142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125</xdr:row>
      <xdr:rowOff>0</xdr:rowOff>
    </xdr:from>
    <xdr:ext cx="952500" cy="53340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7be33233cb4c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129</xdr:row>
      <xdr:rowOff>0</xdr:rowOff>
    </xdr:from>
    <xdr:ext cx="952500" cy="53340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fb3941a4b4b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133</xdr:row>
      <xdr:rowOff>0</xdr:rowOff>
    </xdr:from>
    <xdr:ext cx="952500" cy="53340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8c4747e3c24c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137</xdr:row>
      <xdr:rowOff>0</xdr:rowOff>
    </xdr:from>
    <xdr:ext cx="952500" cy="533400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4b0a919c7843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141</xdr:row>
      <xdr:rowOff>0</xdr:rowOff>
    </xdr:from>
    <xdr:ext cx="952500" cy="53340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3130957d094c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145</xdr:row>
      <xdr:rowOff>0</xdr:rowOff>
    </xdr:from>
    <xdr:ext cx="952500" cy="533400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500f7940fb45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149</xdr:row>
      <xdr:rowOff>0</xdr:rowOff>
    </xdr:from>
    <xdr:ext cx="952500" cy="533400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fe43625fd04a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153</xdr:row>
      <xdr:rowOff>0</xdr:rowOff>
    </xdr:from>
    <xdr:ext cx="952500" cy="533400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8e517b125a46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157</xdr:row>
      <xdr:rowOff>0</xdr:rowOff>
    </xdr:from>
    <xdr:ext cx="876300" cy="876300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5e2add110748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161</xdr:row>
      <xdr:rowOff>0</xdr:rowOff>
    </xdr:from>
    <xdr:ext cx="876300" cy="876300"/>
    <xdr:pic>
      <xdr:nvPicPr>
        <xdr:cNvPr id="4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1ff7e9f91041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165</xdr:row>
      <xdr:rowOff>0</xdr:rowOff>
    </xdr:from>
    <xdr:ext cx="876300" cy="876300"/>
    <xdr:pic>
      <xdr:nvPicPr>
        <xdr:cNvPr id="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2b58f48c24a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169</xdr:row>
      <xdr:rowOff>0</xdr:rowOff>
    </xdr:from>
    <xdr:ext cx="876300" cy="876300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63f90af4a44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173</xdr:row>
      <xdr:rowOff>0</xdr:rowOff>
    </xdr:from>
    <xdr:ext cx="876300" cy="876300"/>
    <xdr:pic>
      <xdr:nvPicPr>
        <xdr:cNvPr id="4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318d8d010145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177</xdr:row>
      <xdr:rowOff>0</xdr:rowOff>
    </xdr:from>
    <xdr:ext cx="876300" cy="876300"/>
    <xdr:pic>
      <xdr:nvPicPr>
        <xdr:cNvPr id="4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a92affd2f24f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181</xdr:row>
      <xdr:rowOff>0</xdr:rowOff>
    </xdr:from>
    <xdr:ext cx="876300" cy="876300"/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3199c0d1314b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185</xdr:row>
      <xdr:rowOff>0</xdr:rowOff>
    </xdr:from>
    <xdr:ext cx="876300" cy="876300"/>
    <xdr:pic>
      <xdr:nvPicPr>
        <xdr:cNvPr id="4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d688053aef4b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189</xdr:row>
      <xdr:rowOff>0</xdr:rowOff>
    </xdr:from>
    <xdr:ext cx="876300" cy="876300"/>
    <xdr:pic>
      <xdr:nvPicPr>
        <xdr:cNvPr id="4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ae3b69226346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193</xdr:row>
      <xdr:rowOff>0</xdr:rowOff>
    </xdr:from>
    <xdr:ext cx="876300" cy="876300"/>
    <xdr:pic>
      <xdr:nvPicPr>
        <xdr:cNvPr id="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e95a74834140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197</xdr:row>
      <xdr:rowOff>0</xdr:rowOff>
    </xdr:from>
    <xdr:ext cx="876300" cy="876300"/>
    <xdr:pic>
      <xdr:nvPicPr>
        <xdr:cNvPr id="5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fb78c6b7364d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05e0b75e2a44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5546875" defaultRowHeight="14.25"/>
  <x:cols>
    <x:col min="1" max="1" width="15" customWidth="1"/>
    <x:col min="2" max="3" width="11" customWidth="1"/>
    <x:col min="4" max="4" width="8" customWidth="1"/>
    <x:col min="5" max="5" width="16" customWidth="1"/>
    <x:col min="6" max="7" width="10" customWidth="1"/>
    <x:col min="8" max="8" width="9" customWidth="1"/>
    <x:col min="9" max="10" width="11" customWidth="1"/>
    <x:col min="11" max="12" width="12" customWidth="1"/>
    <x:col min="13" max="13" width="11" customWidth="1"/>
    <x:col min="14" max="14" width="12" customWidth="1"/>
    <x:col min="15" max="15" width="10" customWidth="1"/>
    <x:col min="16" max="16" width="12" customWidth="1"/>
  </x:cols>
  <x:sheetData>
    <x:row r="1" ht="27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ht="24" customHeight="1">
      <x:c r="A2" s="15"/>
      <x:c r="B2" s="10" t="s">
        <x:v>16</x:v>
      </x:c>
      <x:c r="C2" s="3" t="s">
        <x:v>17</x:v>
      </x:c>
      <x:c r="D2" s="3" t="s">
        <x:v>18</x:v>
      </x:c>
      <x:c r="E2" s="10" t="s">
        <x:v>19</x:v>
      </x:c>
      <x:c r="F2" s="4">
        <x:v>2.2440000000000002</x:v>
      </x:c>
      <x:c r="G2" s="16" t="n">
        <x:v>250</x:v>
      </x:c>
      <x:c r="H2" s="16">
        <x:v>3.8940000000000001</x:v>
      </x:c>
      <x:c r="I2" s="17">
        <x:v>19</x:v>
      </x:c>
      <x:c r="J2" s="16" t="n">
        <x:v>42000</x:v>
      </x:c>
      <x:c r="K2" s="18" t="n">
        <x:f>ROUND(F2*G2,0)</x:f>
        <x:v>561</x:v>
      </x:c>
      <x:c r="L2" s="18" t="n">
        <x:f>ROUND(H2*J2,0)</x:f>
        <x:v>163548</x:v>
      </x:c>
      <x:c r="M2" s="18" t="n">
        <x:f>ROUND(F2*1850,0)</x:f>
        <x:v>4151</x:v>
      </x:c>
      <x:c r="N2" s="18" t="n">
        <x:f>SUM(K2:M2)</x:f>
        <x:v>168260</x:v>
      </x:c>
      <x:c r="O2" s="18" t="n">
        <x:f>ROUND(N2*3%,0)</x:f>
        <x:v>5048</x:v>
      </x:c>
      <x:c r="P2" s="18" t="n">
        <x:f>N2+O2</x:f>
        <x:v>173308</x:v>
      </x:c>
    </x:row>
    <x:row r="3" ht="24" customHeight="1">
      <x:c r="A3" s="11"/>
      <x:c r="B3" s="11"/>
      <x:c r="C3" s="3" t="s">
        <x:v>20</x:v>
      </x:c>
      <x:c r="D3" s="3" t="s">
        <x:v>21</x:v>
      </x:c>
      <x:c r="E3" s="11"/>
      <x:c r="F3" s="4">
        <x:v>2.508</x:v>
      </x:c>
      <x:c r="G3" s="19" t="n">
        <x:v>5790</x:v>
      </x:c>
      <x:c r="H3" s="20"/>
      <x:c r="I3" s="20"/>
      <x:c r="J3" s="20"/>
      <x:c r="K3" s="18" t="n">
        <x:f>ROUND(F3*G3,0)</x:f>
        <x:v>14521</x:v>
      </x:c>
      <x:c r="L3" s="18" t="n">
        <x:f>ROUND(H2*J2,0)</x:f>
        <x:v>163548</x:v>
      </x:c>
      <x:c r="M3" s="18" t="n">
        <x:f>ROUND(F3*1850,0)</x:f>
        <x:v>4640</x:v>
      </x:c>
      <x:c r="N3" s="18" t="n">
        <x:f>SUM(K3:M3)</x:f>
        <x:v>182709</x:v>
      </x:c>
      <x:c r="O3" s="18" t="n">
        <x:f>ROUND(N3*3%,0)</x:f>
        <x:v>5481</x:v>
      </x:c>
      <x:c r="P3" s="18" t="n">
        <x:f>N3+O3</x:f>
        <x:v>188190</x:v>
      </x:c>
    </x:row>
    <x:row r="4" ht="24" customHeight="1">
      <x:c r="A4" s="11"/>
      <x:c r="B4" s="11"/>
      <x:c r="C4" s="3" t="s">
        <x:v>20</x:v>
      </x:c>
      <x:c r="D4" s="3" t="s">
        <x:v>22</x:v>
      </x:c>
      <x:c r="E4" s="11"/>
      <x:c r="F4" s="4">
        <x:v>2.8050000000000002</x:v>
      </x:c>
      <x:c r="G4" s="19" t="n">
        <x:v>9003</x:v>
      </x:c>
      <x:c r="H4" s="20"/>
      <x:c r="I4" s="20"/>
      <x:c r="J4" s="20"/>
      <x:c r="K4" s="18" t="n">
        <x:f>ROUND(F4*G4,0)</x:f>
        <x:v>25253</x:v>
      </x:c>
      <x:c r="L4" s="18" t="n">
        <x:f>ROUND(H2*J2,0)</x:f>
        <x:v>163548</x:v>
      </x:c>
      <x:c r="M4" s="18" t="n">
        <x:f>ROUND(F4*1850,0)</x:f>
        <x:v>5189</x:v>
      </x:c>
      <x:c r="N4" s="18" t="n">
        <x:f>SUM(K4:M4)</x:f>
        <x:v>193990</x:v>
      </x:c>
      <x:c r="O4" s="18" t="n">
        <x:f>ROUND(N4*3%,0)</x:f>
        <x:v>5820</x:v>
      </x:c>
      <x:c r="P4" s="18" t="n">
        <x:f>N4+O4</x:f>
        <x:v>199810</x:v>
      </x:c>
    </x:row>
    <x:row r="5" ht="24" customHeight="1">
      <x:c r="A5" s="12"/>
      <x:c r="B5" s="12"/>
      <x:c r="C5" s="3" t="s">
        <x:v>20</x:v>
      </x:c>
      <x:c r="D5" s="3" t="s">
        <x:v>23</x:v>
      </x:c>
      <x:c r="E5" s="12"/>
      <x:c r="F5" s="4">
        <x:v>3.3</x:v>
      </x:c>
      <x:c r="G5" s="21" t="n">
        <x:v>11576</x:v>
      </x:c>
      <x:c r="H5" s="22"/>
      <x:c r="I5" s="22"/>
      <x:c r="J5" s="22"/>
      <x:c r="K5" s="18" t="n">
        <x:f>ROUND(F5*G5,0)</x:f>
        <x:v>38201</x:v>
      </x:c>
      <x:c r="L5" s="18" t="n">
        <x:f>ROUND(H2*J2,0)</x:f>
        <x:v>163548</x:v>
      </x:c>
      <x:c r="M5" s="18" t="n">
        <x:f>ROUND(F5*1850,0)</x:f>
        <x:v>6105</x:v>
      </x:c>
      <x:c r="N5" s="18" t="n">
        <x:f>SUM(K5:M5)</x:f>
        <x:v>207854</x:v>
      </x:c>
      <x:c r="O5" s="18" t="n">
        <x:f>ROUND(N5*3%,0)</x:f>
        <x:v>6236</x:v>
      </x:c>
      <x:c r="P5" s="18" t="n">
        <x:f>N5+O5</x:f>
        <x:v>214090</x:v>
      </x:c>
    </x:row>
    <x:row r="6" ht="24" customHeight="1">
      <x:c r="A6" s="15"/>
      <x:c r="B6" s="10" t="s">
        <x:v>24</x:v>
      </x:c>
      <x:c r="C6" s="3" t="s">
        <x:v>17</x:v>
      </x:c>
      <x:c r="D6" s="3" t="s">
        <x:v>18</x:v>
      </x:c>
      <x:c r="E6" s="10" t="s">
        <x:v>19</x:v>
      </x:c>
      <x:c r="F6" s="4">
        <x:v>2.1080000000000001</x:v>
      </x:c>
      <x:c r="G6" s="16" t="n">
        <x:v>250</x:v>
      </x:c>
      <x:c r="H6" s="16">
        <x:v>1.97</x:v>
      </x:c>
      <x:c r="I6" s="17">
        <x:v>5</x:v>
      </x:c>
      <x:c r="J6" s="16" t="n">
        <x:v>42000</x:v>
      </x:c>
      <x:c r="K6" s="18" t="n">
        <x:f>ROUND(F6*G6,0)</x:f>
        <x:v>527</x:v>
      </x:c>
      <x:c r="L6" s="18" t="n">
        <x:f>ROUND(H6*J6,0)</x:f>
        <x:v>82740</x:v>
      </x:c>
      <x:c r="M6" s="18" t="n">
        <x:f>ROUND(F6*1850,0)</x:f>
        <x:v>3900</x:v>
      </x:c>
      <x:c r="N6" s="18" t="n">
        <x:f>SUM(K6:M6)</x:f>
        <x:v>87167</x:v>
      </x:c>
      <x:c r="O6" s="18" t="n">
        <x:f>ROUND(N6*3%,0)</x:f>
        <x:v>2615</x:v>
      </x:c>
      <x:c r="P6" s="18" t="n">
        <x:f>N6+O6</x:f>
        <x:v>89782</x:v>
      </x:c>
    </x:row>
    <x:row r="7" ht="24" customHeight="1">
      <x:c r="A7" s="11"/>
      <x:c r="B7" s="11"/>
      <x:c r="C7" s="3" t="s">
        <x:v>20</x:v>
      </x:c>
      <x:c r="D7" s="3" t="s">
        <x:v>21</x:v>
      </x:c>
      <x:c r="E7" s="11"/>
      <x:c r="F7" s="4">
        <x:v>2.3559999999999999</x:v>
      </x:c>
      <x:c r="G7" s="19" t="n">
        <x:v>5790</x:v>
      </x:c>
      <x:c r="H7" s="20"/>
      <x:c r="I7" s="20"/>
      <x:c r="J7" s="20"/>
      <x:c r="K7" s="18" t="n">
        <x:f>ROUND(F7*G7,0)</x:f>
        <x:v>13641</x:v>
      </x:c>
      <x:c r="L7" s="18" t="n">
        <x:f>ROUND(H6*J6,0)</x:f>
        <x:v>82740</x:v>
      </x:c>
      <x:c r="M7" s="18" t="n">
        <x:f>ROUND(F7*1850,0)</x:f>
        <x:v>4359</x:v>
      </x:c>
      <x:c r="N7" s="18" t="n">
        <x:f>SUM(K7:M7)</x:f>
        <x:v>100740</x:v>
      </x:c>
      <x:c r="O7" s="18" t="n">
        <x:f>ROUND(N7*3%,0)</x:f>
        <x:v>3022</x:v>
      </x:c>
      <x:c r="P7" s="18" t="n">
        <x:f>N7+O7</x:f>
        <x:v>103762</x:v>
      </x:c>
    </x:row>
    <x:row r="8" ht="24" customHeight="1">
      <x:c r="A8" s="11"/>
      <x:c r="B8" s="11"/>
      <x:c r="C8" s="3" t="s">
        <x:v>20</x:v>
      </x:c>
      <x:c r="D8" s="3" t="s">
        <x:v>22</x:v>
      </x:c>
      <x:c r="E8" s="11"/>
      <x:c r="F8" s="4">
        <x:v>2.6349999999999998</x:v>
      </x:c>
      <x:c r="G8" s="19" t="n">
        <x:v>9003</x:v>
      </x:c>
      <x:c r="H8" s="20"/>
      <x:c r="I8" s="20"/>
      <x:c r="J8" s="20"/>
      <x:c r="K8" s="18" t="n">
        <x:f>ROUND(F8*G8,0)</x:f>
        <x:v>23723</x:v>
      </x:c>
      <x:c r="L8" s="18" t="n">
        <x:f>ROUND(H6*J6,0)</x:f>
        <x:v>82740</x:v>
      </x:c>
      <x:c r="M8" s="18" t="n">
        <x:f>ROUND(F8*1850,0)</x:f>
        <x:v>4875</x:v>
      </x:c>
      <x:c r="N8" s="18" t="n">
        <x:f>SUM(K8:M8)</x:f>
        <x:v>111338</x:v>
      </x:c>
      <x:c r="O8" s="18" t="n">
        <x:f>ROUND(N8*3%,0)</x:f>
        <x:v>3340</x:v>
      </x:c>
      <x:c r="P8" s="18" t="n">
        <x:f>N8+O8</x:f>
        <x:v>114678</x:v>
      </x:c>
    </x:row>
    <x:row r="9" ht="24" customHeight="1">
      <x:c r="A9" s="12"/>
      <x:c r="B9" s="12"/>
      <x:c r="C9" s="3" t="s">
        <x:v>20</x:v>
      </x:c>
      <x:c r="D9" s="3" t="s">
        <x:v>23</x:v>
      </x:c>
      <x:c r="E9" s="12"/>
      <x:c r="F9" s="4">
        <x:v>3.1</x:v>
      </x:c>
      <x:c r="G9" s="21" t="n">
        <x:v>11576</x:v>
      </x:c>
      <x:c r="H9" s="22"/>
      <x:c r="I9" s="22"/>
      <x:c r="J9" s="22"/>
      <x:c r="K9" s="18" t="n">
        <x:f>ROUND(F9*G9,0)</x:f>
        <x:v>35886</x:v>
      </x:c>
      <x:c r="L9" s="18" t="n">
        <x:f>ROUND(H6*J6,0)</x:f>
        <x:v>82740</x:v>
      </x:c>
      <x:c r="M9" s="18" t="n">
        <x:f>ROUND(F9*1850,0)</x:f>
        <x:v>5735</x:v>
      </x:c>
      <x:c r="N9" s="18" t="n">
        <x:f>SUM(K9:M9)</x:f>
        <x:v>124361</x:v>
      </x:c>
      <x:c r="O9" s="18" t="n">
        <x:f>ROUND(N9*3%,0)</x:f>
        <x:v>3731</x:v>
      </x:c>
      <x:c r="P9" s="18" t="n">
        <x:f>N9+O9</x:f>
        <x:v>128092</x:v>
      </x:c>
    </x:row>
    <x:row r="10" ht="24" customHeight="1">
      <x:c r="A10" s="15"/>
      <x:c r="B10" s="10" t="s">
        <x:v>25</x:v>
      </x:c>
      <x:c r="C10" s="3" t="s">
        <x:v>17</x:v>
      </x:c>
      <x:c r="D10" s="3" t="s">
        <x:v>18</x:v>
      </x:c>
      <x:c r="E10" s="10" t="s">
        <x:v>19</x:v>
      </x:c>
      <x:c r="F10" s="4">
        <x:v>2.0059999999999998</x:v>
      </x:c>
      <x:c r="G10" s="16" t="n">
        <x:v>250</x:v>
      </x:c>
      <x:c r="H10" s="16">
        <x:v>3.1</x:v>
      </x:c>
      <x:c r="I10" s="17">
        <x:v>3</x:v>
      </x:c>
      <x:c r="J10" s="16" t="n">
        <x:v>42000</x:v>
      </x:c>
      <x:c r="K10" s="18" t="n">
        <x:f>ROUND(F10*G10,0)</x:f>
        <x:v>501</x:v>
      </x:c>
      <x:c r="L10" s="18" t="n">
        <x:f>ROUND(H10*J10,0)</x:f>
        <x:v>130200</x:v>
      </x:c>
      <x:c r="M10" s="18" t="n">
        <x:f>ROUND(F10*1850,0)</x:f>
        <x:v>3711</x:v>
      </x:c>
      <x:c r="N10" s="18" t="n">
        <x:f>SUM(K10:M10)</x:f>
        <x:v>134412</x:v>
      </x:c>
      <x:c r="O10" s="18" t="n">
        <x:f>ROUND(N10*3%,0)</x:f>
        <x:v>4032</x:v>
      </x:c>
      <x:c r="P10" s="18" t="n">
        <x:f>N10+O10</x:f>
        <x:v>138444</x:v>
      </x:c>
    </x:row>
    <x:row r="11" ht="24" customHeight="1">
      <x:c r="A11" s="11"/>
      <x:c r="B11" s="11"/>
      <x:c r="C11" s="3" t="s">
        <x:v>20</x:v>
      </x:c>
      <x:c r="D11" s="3" t="s">
        <x:v>21</x:v>
      </x:c>
      <x:c r="E11" s="11"/>
      <x:c r="F11" s="4">
        <x:v>2.242</x:v>
      </x:c>
      <x:c r="G11" s="19" t="n">
        <x:v>5790</x:v>
      </x:c>
      <x:c r="H11" s="20"/>
      <x:c r="I11" s="20"/>
      <x:c r="J11" s="20"/>
      <x:c r="K11" s="18" t="n">
        <x:f>ROUND(F11*G11,0)</x:f>
        <x:v>12981</x:v>
      </x:c>
      <x:c r="L11" s="18" t="n">
        <x:f>ROUND(H10*J10,0)</x:f>
        <x:v>130200</x:v>
      </x:c>
      <x:c r="M11" s="18" t="n">
        <x:f>ROUND(F11*1850,0)</x:f>
        <x:v>4148</x:v>
      </x:c>
      <x:c r="N11" s="18" t="n">
        <x:f>SUM(K11:M11)</x:f>
        <x:v>147329</x:v>
      </x:c>
      <x:c r="O11" s="18" t="n">
        <x:f>ROUND(N11*3%,0)</x:f>
        <x:v>4420</x:v>
      </x:c>
      <x:c r="P11" s="18" t="n">
        <x:f>N11+O11</x:f>
        <x:v>151749</x:v>
      </x:c>
    </x:row>
    <x:row r="12" ht="24" customHeight="1">
      <x:c r="A12" s="11"/>
      <x:c r="B12" s="11"/>
      <x:c r="C12" s="3" t="s">
        <x:v>20</x:v>
      </x:c>
      <x:c r="D12" s="3" t="s">
        <x:v>22</x:v>
      </x:c>
      <x:c r="E12" s="11"/>
      <x:c r="F12" s="4">
        <x:v>2.5074999999999998</x:v>
      </x:c>
      <x:c r="G12" s="19" t="n">
        <x:v>9003</x:v>
      </x:c>
      <x:c r="H12" s="20"/>
      <x:c r="I12" s="20"/>
      <x:c r="J12" s="20"/>
      <x:c r="K12" s="18" t="n">
        <x:f>ROUND(F12*G12,0)</x:f>
        <x:v>22575</x:v>
      </x:c>
      <x:c r="L12" s="18" t="n">
        <x:f>ROUND(H10*J10,0)</x:f>
        <x:v>130200</x:v>
      </x:c>
      <x:c r="M12" s="18" t="n">
        <x:f>ROUND(F12*1850,0)</x:f>
        <x:v>4639</x:v>
      </x:c>
      <x:c r="N12" s="18" t="n">
        <x:f>SUM(K12:M12)</x:f>
        <x:v>157414</x:v>
      </x:c>
      <x:c r="O12" s="18" t="n">
        <x:f>ROUND(N12*3%,0)</x:f>
        <x:v>4722</x:v>
      </x:c>
      <x:c r="P12" s="18" t="n">
        <x:f>N12+O12</x:f>
        <x:v>162136</x:v>
      </x:c>
    </x:row>
    <x:row r="13" ht="24" customHeight="1">
      <x:c r="A13" s="12"/>
      <x:c r="B13" s="12"/>
      <x:c r="C13" s="3" t="s">
        <x:v>20</x:v>
      </x:c>
      <x:c r="D13" s="3" t="s">
        <x:v>23</x:v>
      </x:c>
      <x:c r="E13" s="12"/>
      <x:c r="F13" s="4">
        <x:v>2.95</x:v>
      </x:c>
      <x:c r="G13" s="21" t="n">
        <x:v>11576</x:v>
      </x:c>
      <x:c r="H13" s="22"/>
      <x:c r="I13" s="22"/>
      <x:c r="J13" s="22"/>
      <x:c r="K13" s="18" t="n">
        <x:f>ROUND(F13*G13,0)</x:f>
        <x:v>34149</x:v>
      </x:c>
      <x:c r="L13" s="18" t="n">
        <x:f>ROUND(H10*J10,0)</x:f>
        <x:v>130200</x:v>
      </x:c>
      <x:c r="M13" s="18" t="n">
        <x:f>ROUND(F13*1850,0)</x:f>
        <x:v>5458</x:v>
      </x:c>
      <x:c r="N13" s="18" t="n">
        <x:f>SUM(K13:M13)</x:f>
        <x:v>169807</x:v>
      </x:c>
      <x:c r="O13" s="18" t="n">
        <x:f>ROUND(N13*3%,0)</x:f>
        <x:v>5094</x:v>
      </x:c>
      <x:c r="P13" s="18" t="n">
        <x:f>N13+O13</x:f>
        <x:v>174901</x:v>
      </x:c>
    </x:row>
    <x:row r="14" ht="24" customHeight="1">
      <x:c r="A14" s="15"/>
      <x:c r="B14" s="10" t="s">
        <x:v>26</x:v>
      </x:c>
      <x:c r="C14" s="3" t="s">
        <x:v>17</x:v>
      </x:c>
      <x:c r="D14" s="3" t="s">
        <x:v>18</x:v>
      </x:c>
      <x:c r="E14" s="10" t="s">
        <x:v>19</x:v>
      </x:c>
      <x:c r="F14" s="4">
        <x:v>2.3119999999999998</x:v>
      </x:c>
      <x:c r="G14" s="16" t="n">
        <x:v>250</x:v>
      </x:c>
      <x:c r="H14" s="16">
        <x:v>2.1</x:v>
      </x:c>
      <x:c r="I14" s="17">
        <x:v>14</x:v>
      </x:c>
      <x:c r="J14" s="16" t="n">
        <x:v>42000</x:v>
      </x:c>
      <x:c r="K14" s="18" t="n">
        <x:f>ROUND(F14*G14,0)</x:f>
        <x:v>578</x:v>
      </x:c>
      <x:c r="L14" s="18" t="n">
        <x:f>ROUND(H14*J14,0)</x:f>
        <x:v>88200</x:v>
      </x:c>
      <x:c r="M14" s="18" t="n">
        <x:f>ROUND(F14*1850,0)</x:f>
        <x:v>4277</x:v>
      </x:c>
      <x:c r="N14" s="18" t="n">
        <x:f>SUM(K14:M14)</x:f>
        <x:v>93055</x:v>
      </x:c>
      <x:c r="O14" s="18" t="n">
        <x:f>ROUND(N14*3%,0)</x:f>
        <x:v>2792</x:v>
      </x:c>
      <x:c r="P14" s="18" t="n">
        <x:f>N14+O14</x:f>
        <x:v>95847</x:v>
      </x:c>
    </x:row>
    <x:row r="15" ht="24" customHeight="1">
      <x:c r="A15" s="11"/>
      <x:c r="B15" s="11"/>
      <x:c r="C15" s="3" t="s">
        <x:v>20</x:v>
      </x:c>
      <x:c r="D15" s="3" t="s">
        <x:v>21</x:v>
      </x:c>
      <x:c r="E15" s="11"/>
      <x:c r="F15" s="4">
        <x:v>2.5840000000000001</x:v>
      </x:c>
      <x:c r="G15" s="19" t="n">
        <x:v>5790</x:v>
      </x:c>
      <x:c r="H15" s="20"/>
      <x:c r="I15" s="20"/>
      <x:c r="J15" s="20"/>
      <x:c r="K15" s="18" t="n">
        <x:f>ROUND(F15*G15,0)</x:f>
        <x:v>14961</x:v>
      </x:c>
      <x:c r="L15" s="18" t="n">
        <x:f>ROUND(H14*J14,0)</x:f>
        <x:v>88200</x:v>
      </x:c>
      <x:c r="M15" s="18" t="n">
        <x:f>ROUND(F15*1850,0)</x:f>
        <x:v>4780</x:v>
      </x:c>
      <x:c r="N15" s="18" t="n">
        <x:f>SUM(K15:M15)</x:f>
        <x:v>107941</x:v>
      </x:c>
      <x:c r="O15" s="18" t="n">
        <x:f>ROUND(N15*3%,0)</x:f>
        <x:v>3238</x:v>
      </x:c>
      <x:c r="P15" s="18" t="n">
        <x:f>N15+O15</x:f>
        <x:v>111179</x:v>
      </x:c>
    </x:row>
    <x:row r="16" ht="24" customHeight="1">
      <x:c r="A16" s="11"/>
      <x:c r="B16" s="11"/>
      <x:c r="C16" s="3" t="s">
        <x:v>20</x:v>
      </x:c>
      <x:c r="D16" s="3" t="s">
        <x:v>22</x:v>
      </x:c>
      <x:c r="E16" s="11"/>
      <x:c r="F16" s="4">
        <x:v>2.89</x:v>
      </x:c>
      <x:c r="G16" s="19" t="n">
        <x:v>9003</x:v>
      </x:c>
      <x:c r="H16" s="20"/>
      <x:c r="I16" s="20"/>
      <x:c r="J16" s="20"/>
      <x:c r="K16" s="18" t="n">
        <x:f>ROUND(F16*G16,0)</x:f>
        <x:v>26019</x:v>
      </x:c>
      <x:c r="L16" s="18" t="n">
        <x:f>ROUND(H14*J14,0)</x:f>
        <x:v>88200</x:v>
      </x:c>
      <x:c r="M16" s="18" t="n">
        <x:f>ROUND(F16*1850,0)</x:f>
        <x:v>5347</x:v>
      </x:c>
      <x:c r="N16" s="18" t="n">
        <x:f>SUM(K16:M16)</x:f>
        <x:v>119566</x:v>
      </x:c>
      <x:c r="O16" s="18" t="n">
        <x:f>ROUND(N16*3%,0)</x:f>
        <x:v>3587</x:v>
      </x:c>
      <x:c r="P16" s="18" t="n">
        <x:f>N16+O16</x:f>
        <x:v>123153</x:v>
      </x:c>
    </x:row>
    <x:row r="17" ht="24" customHeight="1">
      <x:c r="A17" s="12"/>
      <x:c r="B17" s="12"/>
      <x:c r="C17" s="3" t="s">
        <x:v>20</x:v>
      </x:c>
      <x:c r="D17" s="3" t="s">
        <x:v>23</x:v>
      </x:c>
      <x:c r="E17" s="12"/>
      <x:c r="F17" s="4">
        <x:v>3.4</x:v>
      </x:c>
      <x:c r="G17" s="21" t="n">
        <x:v>11576</x:v>
      </x:c>
      <x:c r="H17" s="22"/>
      <x:c r="I17" s="22"/>
      <x:c r="J17" s="22"/>
      <x:c r="K17" s="18" t="n">
        <x:f>ROUND(F17*G17,0)</x:f>
        <x:v>39358</x:v>
      </x:c>
      <x:c r="L17" s="18" t="n">
        <x:f>ROUND(H14*J14,0)</x:f>
        <x:v>88200</x:v>
      </x:c>
      <x:c r="M17" s="18" t="n">
        <x:f>ROUND(F17*1850,0)</x:f>
        <x:v>6290</x:v>
      </x:c>
      <x:c r="N17" s="18" t="n">
        <x:f>SUM(K17:M17)</x:f>
        <x:v>133848</x:v>
      </x:c>
      <x:c r="O17" s="18" t="n">
        <x:f>ROUND(N17*3%,0)</x:f>
        <x:v>4015</x:v>
      </x:c>
      <x:c r="P17" s="18" t="n">
        <x:f>N17+O17</x:f>
        <x:v>137863</x:v>
      </x:c>
    </x:row>
    <x:row r="18" ht="24" customHeight="1">
      <x:c r="A18" s="15"/>
      <x:c r="B18" s="10" t="s">
        <x:v>27</x:v>
      </x:c>
      <x:c r="C18" s="3" t="s">
        <x:v>17</x:v>
      </x:c>
      <x:c r="D18" s="3" t="s">
        <x:v>18</x:v>
      </x:c>
      <x:c r="E18" s="10" t="s">
        <x:v>19</x:v>
      </x:c>
      <x:c r="F18" s="4">
        <x:v>2.6179999999999999</x:v>
      </x:c>
      <x:c r="G18" s="16" t="n">
        <x:v>250</x:v>
      </x:c>
      <x:c r="H18" s="16">
        <x:v>3.76</x:v>
      </x:c>
      <x:c r="I18" s="17">
        <x:v>57</x:v>
      </x:c>
      <x:c r="J18" s="16" t="n">
        <x:v>42000</x:v>
      </x:c>
      <x:c r="K18" s="18" t="n">
        <x:f>ROUND(F18*G18,0)</x:f>
        <x:v>655</x:v>
      </x:c>
      <x:c r="L18" s="18" t="n">
        <x:f>ROUND(H18*J18,0)</x:f>
        <x:v>157920</x:v>
      </x:c>
      <x:c r="M18" s="18" t="n">
        <x:f>ROUND(F18*1850,0)</x:f>
        <x:v>4843</x:v>
      </x:c>
      <x:c r="N18" s="18" t="n">
        <x:f>SUM(K18:M18)</x:f>
        <x:v>163418</x:v>
      </x:c>
      <x:c r="O18" s="18" t="n">
        <x:f>ROUND(N18*3%,0)</x:f>
        <x:v>4903</x:v>
      </x:c>
      <x:c r="P18" s="18" t="n">
        <x:f>N18+O18</x:f>
        <x:v>168321</x:v>
      </x:c>
    </x:row>
    <x:row r="19" ht="24" customHeight="1">
      <x:c r="A19" s="11"/>
      <x:c r="B19" s="11"/>
      <x:c r="C19" s="3" t="s">
        <x:v>20</x:v>
      </x:c>
      <x:c r="D19" s="3" t="s">
        <x:v>21</x:v>
      </x:c>
      <x:c r="E19" s="11"/>
      <x:c r="F19" s="4">
        <x:v>2.9260000000000002</x:v>
      </x:c>
      <x:c r="G19" s="19" t="n">
        <x:v>5790</x:v>
      </x:c>
      <x:c r="H19" s="20"/>
      <x:c r="I19" s="20"/>
      <x:c r="J19" s="20"/>
      <x:c r="K19" s="18" t="n">
        <x:f>ROUND(F19*G19,0)</x:f>
        <x:v>16942</x:v>
      </x:c>
      <x:c r="L19" s="18" t="n">
        <x:f>ROUND(H18*J18,0)</x:f>
        <x:v>157920</x:v>
      </x:c>
      <x:c r="M19" s="18" t="n">
        <x:f>ROUND(F19*1850,0)</x:f>
        <x:v>5413</x:v>
      </x:c>
      <x:c r="N19" s="18" t="n">
        <x:f>SUM(K19:M19)</x:f>
        <x:v>180275</x:v>
      </x:c>
      <x:c r="O19" s="18" t="n">
        <x:f>ROUND(N19*3%,0)</x:f>
        <x:v>5408</x:v>
      </x:c>
      <x:c r="P19" s="18" t="n">
        <x:f>N19+O19</x:f>
        <x:v>185683</x:v>
      </x:c>
    </x:row>
    <x:row r="20" ht="24" customHeight="1">
      <x:c r="A20" s="11"/>
      <x:c r="B20" s="11"/>
      <x:c r="C20" s="3" t="s">
        <x:v>20</x:v>
      </x:c>
      <x:c r="D20" s="3" t="s">
        <x:v>22</x:v>
      </x:c>
      <x:c r="E20" s="11"/>
      <x:c r="F20" s="4">
        <x:v>3.2725</x:v>
      </x:c>
      <x:c r="G20" s="19" t="n">
        <x:v>9003</x:v>
      </x:c>
      <x:c r="H20" s="20"/>
      <x:c r="I20" s="20"/>
      <x:c r="J20" s="20"/>
      <x:c r="K20" s="18" t="n">
        <x:f>ROUND(F20*G20,0)</x:f>
        <x:v>29462</x:v>
      </x:c>
      <x:c r="L20" s="18" t="n">
        <x:f>ROUND(H18*J18,0)</x:f>
        <x:v>157920</x:v>
      </x:c>
      <x:c r="M20" s="18" t="n">
        <x:f>ROUND(F20*1850,0)</x:f>
        <x:v>6054</x:v>
      </x:c>
      <x:c r="N20" s="18" t="n">
        <x:f>SUM(K20:M20)</x:f>
        <x:v>193436</x:v>
      </x:c>
      <x:c r="O20" s="18" t="n">
        <x:f>ROUND(N20*3%,0)</x:f>
        <x:v>5803</x:v>
      </x:c>
      <x:c r="P20" s="18" t="n">
        <x:f>N20+O20</x:f>
        <x:v>199239</x:v>
      </x:c>
    </x:row>
    <x:row r="21" ht="24" customHeight="1">
      <x:c r="A21" s="12"/>
      <x:c r="B21" s="12"/>
      <x:c r="C21" s="3" t="s">
        <x:v>20</x:v>
      </x:c>
      <x:c r="D21" s="3" t="s">
        <x:v>23</x:v>
      </x:c>
      <x:c r="E21" s="12"/>
      <x:c r="F21" s="4">
        <x:v>3.85</x:v>
      </x:c>
      <x:c r="G21" s="21" t="n">
        <x:v>11576</x:v>
      </x:c>
      <x:c r="H21" s="22"/>
      <x:c r="I21" s="22"/>
      <x:c r="J21" s="22"/>
      <x:c r="K21" s="18" t="n">
        <x:f>ROUND(F21*G21,0)</x:f>
        <x:v>44568</x:v>
      </x:c>
      <x:c r="L21" s="18" t="n">
        <x:f>ROUND(H18*J18,0)</x:f>
        <x:v>157920</x:v>
      </x:c>
      <x:c r="M21" s="18" t="n">
        <x:f>ROUND(F21*1850,0)</x:f>
        <x:v>7123</x:v>
      </x:c>
      <x:c r="N21" s="18" t="n">
        <x:f>SUM(K21:M21)</x:f>
        <x:v>209611</x:v>
      </x:c>
      <x:c r="O21" s="18" t="n">
        <x:f>ROUND(N21*3%,0)</x:f>
        <x:v>6288</x:v>
      </x:c>
      <x:c r="P21" s="18" t="n">
        <x:f>N21+O21</x:f>
        <x:v>215899</x:v>
      </x:c>
    </x:row>
    <x:row r="22" ht="24" customHeight="1">
      <x:c r="A22" s="15"/>
      <x:c r="B22" s="10" t="s">
        <x:v>28</x:v>
      </x:c>
      <x:c r="C22" s="3" t="s">
        <x:v>17</x:v>
      </x:c>
      <x:c r="D22" s="3" t="s">
        <x:v>18</x:v>
      </x:c>
      <x:c r="E22" s="10" t="s">
        <x:v>19</x:v>
      </x:c>
      <x:c r="F22" s="4">
        <x:v>2.72</x:v>
      </x:c>
      <x:c r="G22" s="16" t="n">
        <x:v>250</x:v>
      </x:c>
      <x:c r="H22" s="16">
        <x:v>1.6559999999999999</x:v>
      </x:c>
      <x:c r="I22" s="17">
        <x:v>49</x:v>
      </x:c>
      <x:c r="J22" s="16" t="n">
        <x:v>42000</x:v>
      </x:c>
      <x:c r="K22" s="18" t="n">
        <x:f>ROUND(F22*G22,0)</x:f>
        <x:v>680</x:v>
      </x:c>
      <x:c r="L22" s="18" t="n">
        <x:f>ROUND(H22*J22,0)</x:f>
        <x:v>69552</x:v>
      </x:c>
      <x:c r="M22" s="18" t="n">
        <x:f>ROUND(F22*1850,0)</x:f>
        <x:v>5032</x:v>
      </x:c>
      <x:c r="N22" s="18" t="n">
        <x:f>SUM(K22:M22)</x:f>
        <x:v>75264</x:v>
      </x:c>
      <x:c r="O22" s="18" t="n">
        <x:f>ROUND(N22*3%,0)</x:f>
        <x:v>2258</x:v>
      </x:c>
      <x:c r="P22" s="18" t="n">
        <x:f>N22+O22</x:f>
        <x:v>77522</x:v>
      </x:c>
    </x:row>
    <x:row r="23" ht="24" customHeight="1">
      <x:c r="A23" s="11"/>
      <x:c r="B23" s="11"/>
      <x:c r="C23" s="3" t="s">
        <x:v>20</x:v>
      </x:c>
      <x:c r="D23" s="3" t="s">
        <x:v>21</x:v>
      </x:c>
      <x:c r="E23" s="11"/>
      <x:c r="F23" s="4">
        <x:v>3.04</x:v>
      </x:c>
      <x:c r="G23" s="19" t="n">
        <x:v>5790</x:v>
      </x:c>
      <x:c r="H23" s="20"/>
      <x:c r="I23" s="20"/>
      <x:c r="J23" s="20"/>
      <x:c r="K23" s="18" t="n">
        <x:f>ROUND(F23*G23,0)</x:f>
        <x:v>17602</x:v>
      </x:c>
      <x:c r="L23" s="18" t="n">
        <x:f>ROUND(H22*J22,0)</x:f>
        <x:v>69552</x:v>
      </x:c>
      <x:c r="M23" s="18" t="n">
        <x:f>ROUND(F23*1850,0)</x:f>
        <x:v>5624</x:v>
      </x:c>
      <x:c r="N23" s="18" t="n">
        <x:f>SUM(K23:M23)</x:f>
        <x:v>92778</x:v>
      </x:c>
      <x:c r="O23" s="18" t="n">
        <x:f>ROUND(N23*3%,0)</x:f>
        <x:v>2783</x:v>
      </x:c>
      <x:c r="P23" s="18" t="n">
        <x:f>N23+O23</x:f>
        <x:v>95561</x:v>
      </x:c>
    </x:row>
    <x:row r="24" ht="24" customHeight="1">
      <x:c r="A24" s="11"/>
      <x:c r="B24" s="11"/>
      <x:c r="C24" s="3" t="s">
        <x:v>20</x:v>
      </x:c>
      <x:c r="D24" s="3" t="s">
        <x:v>22</x:v>
      </x:c>
      <x:c r="E24" s="11"/>
      <x:c r="F24" s="4">
        <x:v>3.4</x:v>
      </x:c>
      <x:c r="G24" s="19" t="n">
        <x:v>9003</x:v>
      </x:c>
      <x:c r="H24" s="20"/>
      <x:c r="I24" s="20"/>
      <x:c r="J24" s="20"/>
      <x:c r="K24" s="18" t="n">
        <x:f>ROUND(F24*G24,0)</x:f>
        <x:v>30610</x:v>
      </x:c>
      <x:c r="L24" s="18" t="n">
        <x:f>ROUND(H22*J22,0)</x:f>
        <x:v>69552</x:v>
      </x:c>
      <x:c r="M24" s="18" t="n">
        <x:f>ROUND(F24*1850,0)</x:f>
        <x:v>6290</x:v>
      </x:c>
      <x:c r="N24" s="18" t="n">
        <x:f>SUM(K24:M24)</x:f>
        <x:v>106452</x:v>
      </x:c>
      <x:c r="O24" s="18" t="n">
        <x:f>ROUND(N24*3%,0)</x:f>
        <x:v>3194</x:v>
      </x:c>
      <x:c r="P24" s="18" t="n">
        <x:f>N24+O24</x:f>
        <x:v>109646</x:v>
      </x:c>
    </x:row>
    <x:row r="25" ht="24" customHeight="1">
      <x:c r="A25" s="12"/>
      <x:c r="B25" s="12"/>
      <x:c r="C25" s="3" t="s">
        <x:v>20</x:v>
      </x:c>
      <x:c r="D25" s="3" t="s">
        <x:v>23</x:v>
      </x:c>
      <x:c r="E25" s="12"/>
      <x:c r="F25" s="4">
        <x:v>4</x:v>
      </x:c>
      <x:c r="G25" s="21" t="n">
        <x:v>11576</x:v>
      </x:c>
      <x:c r="H25" s="22"/>
      <x:c r="I25" s="22"/>
      <x:c r="J25" s="22"/>
      <x:c r="K25" s="18" t="n">
        <x:f>ROUND(F25*G25,0)</x:f>
        <x:v>46304</x:v>
      </x:c>
      <x:c r="L25" s="18" t="n">
        <x:f>ROUND(H22*J22,0)</x:f>
        <x:v>69552</x:v>
      </x:c>
      <x:c r="M25" s="18" t="n">
        <x:f>ROUND(F25*1850,0)</x:f>
        <x:v>7400</x:v>
      </x:c>
      <x:c r="N25" s="18" t="n">
        <x:f>SUM(K25:M25)</x:f>
        <x:v>123256</x:v>
      </x:c>
      <x:c r="O25" s="18" t="n">
        <x:f>ROUND(N25*3%,0)</x:f>
        <x:v>3698</x:v>
      </x:c>
      <x:c r="P25" s="18" t="n">
        <x:f>N25+O25</x:f>
        <x:v>126954</x:v>
      </x:c>
    </x:row>
    <x:row r="26" ht="24" customHeight="1">
      <x:c r="A26" s="15"/>
      <x:c r="B26" s="10" t="s">
        <x:v>29</x:v>
      </x:c>
      <x:c r="C26" s="3" t="s">
        <x:v>17</x:v>
      </x:c>
      <x:c r="D26" s="3" t="s">
        <x:v>18</x:v>
      </x:c>
      <x:c r="E26" s="10" t="s">
        <x:v>19</x:v>
      </x:c>
      <x:c r="F26" s="4">
        <x:v>2.2440000000000002</x:v>
      </x:c>
      <x:c r="G26" s="16" t="n">
        <x:v>250</x:v>
      </x:c>
      <x:c r="H26" s="16">
        <x:v>2.6640000000000001</x:v>
      </x:c>
      <x:c r="I26" s="17">
        <x:v>15</x:v>
      </x:c>
      <x:c r="J26" s="16" t="n">
        <x:v>42000</x:v>
      </x:c>
      <x:c r="K26" s="18" t="n">
        <x:f>ROUND(F26*G26,0)</x:f>
        <x:v>561</x:v>
      </x:c>
      <x:c r="L26" s="18" t="n">
        <x:f>ROUND(H26*J26,0)</x:f>
        <x:v>111888</x:v>
      </x:c>
      <x:c r="M26" s="18" t="n">
        <x:f>ROUND(F26*1850,0)</x:f>
        <x:v>4151</x:v>
      </x:c>
      <x:c r="N26" s="18" t="n">
        <x:f>SUM(K26:M26)</x:f>
        <x:v>116600</x:v>
      </x:c>
      <x:c r="O26" s="18" t="n">
        <x:f>ROUND(N26*3%,0)</x:f>
        <x:v>3498</x:v>
      </x:c>
      <x:c r="P26" s="18" t="n">
        <x:f>N26+O26</x:f>
        <x:v>120098</x:v>
      </x:c>
    </x:row>
    <x:row r="27" ht="24" customHeight="1">
      <x:c r="A27" s="11"/>
      <x:c r="B27" s="11"/>
      <x:c r="C27" s="3" t="s">
        <x:v>20</x:v>
      </x:c>
      <x:c r="D27" s="3" t="s">
        <x:v>21</x:v>
      </x:c>
      <x:c r="E27" s="11"/>
      <x:c r="F27" s="4">
        <x:v>2.508</x:v>
      </x:c>
      <x:c r="G27" s="19" t="n">
        <x:v>5790</x:v>
      </x:c>
      <x:c r="H27" s="20"/>
      <x:c r="I27" s="20"/>
      <x:c r="J27" s="20"/>
      <x:c r="K27" s="18" t="n">
        <x:f>ROUND(F27*G27,0)</x:f>
        <x:v>14521</x:v>
      </x:c>
      <x:c r="L27" s="18" t="n">
        <x:f>ROUND(H26*J26,0)</x:f>
        <x:v>111888</x:v>
      </x:c>
      <x:c r="M27" s="18" t="n">
        <x:f>ROUND(F27*1850,0)</x:f>
        <x:v>4640</x:v>
      </x:c>
      <x:c r="N27" s="18" t="n">
        <x:f>SUM(K27:M27)</x:f>
        <x:v>131049</x:v>
      </x:c>
      <x:c r="O27" s="18" t="n">
        <x:f>ROUND(N27*3%,0)</x:f>
        <x:v>3931</x:v>
      </x:c>
      <x:c r="P27" s="18" t="n">
        <x:f>N27+O27</x:f>
        <x:v>134980</x:v>
      </x:c>
    </x:row>
    <x:row r="28" ht="24" customHeight="1">
      <x:c r="A28" s="11"/>
      <x:c r="B28" s="11"/>
      <x:c r="C28" s="3" t="s">
        <x:v>20</x:v>
      </x:c>
      <x:c r="D28" s="3" t="s">
        <x:v>22</x:v>
      </x:c>
      <x:c r="E28" s="11"/>
      <x:c r="F28" s="4">
        <x:v>2.8050000000000002</x:v>
      </x:c>
      <x:c r="G28" s="19" t="n">
        <x:v>9003</x:v>
      </x:c>
      <x:c r="H28" s="20"/>
      <x:c r="I28" s="20"/>
      <x:c r="J28" s="20"/>
      <x:c r="K28" s="18" t="n">
        <x:f>ROUND(F28*G28,0)</x:f>
        <x:v>25253</x:v>
      </x:c>
      <x:c r="L28" s="18" t="n">
        <x:f>ROUND(H26*J26,0)</x:f>
        <x:v>111888</x:v>
      </x:c>
      <x:c r="M28" s="18" t="n">
        <x:f>ROUND(F28*1850,0)</x:f>
        <x:v>5189</x:v>
      </x:c>
      <x:c r="N28" s="18" t="n">
        <x:f>SUM(K28:M28)</x:f>
        <x:v>142330</x:v>
      </x:c>
      <x:c r="O28" s="18" t="n">
        <x:f>ROUND(N28*3%,0)</x:f>
        <x:v>4270</x:v>
      </x:c>
      <x:c r="P28" s="18" t="n">
        <x:f>N28+O28</x:f>
        <x:v>146600</x:v>
      </x:c>
    </x:row>
    <x:row r="29" ht="24" customHeight="1">
      <x:c r="A29" s="12"/>
      <x:c r="B29" s="12"/>
      <x:c r="C29" s="3" t="s">
        <x:v>20</x:v>
      </x:c>
      <x:c r="D29" s="3" t="s">
        <x:v>23</x:v>
      </x:c>
      <x:c r="E29" s="12"/>
      <x:c r="F29" s="4">
        <x:v>3.3</x:v>
      </x:c>
      <x:c r="G29" s="21" t="n">
        <x:v>11576</x:v>
      </x:c>
      <x:c r="H29" s="22"/>
      <x:c r="I29" s="22"/>
      <x:c r="J29" s="22"/>
      <x:c r="K29" s="18" t="n">
        <x:f>ROUND(F29*G29,0)</x:f>
        <x:v>38201</x:v>
      </x:c>
      <x:c r="L29" s="18" t="n">
        <x:f>ROUND(H26*J26,0)</x:f>
        <x:v>111888</x:v>
      </x:c>
      <x:c r="M29" s="18" t="n">
        <x:f>ROUND(F29*1850,0)</x:f>
        <x:v>6105</x:v>
      </x:c>
      <x:c r="N29" s="18" t="n">
        <x:f>SUM(K29:M29)</x:f>
        <x:v>156194</x:v>
      </x:c>
      <x:c r="O29" s="18" t="n">
        <x:f>ROUND(N29*3%,0)</x:f>
        <x:v>4686</x:v>
      </x:c>
      <x:c r="P29" s="18" t="n">
        <x:f>N29+O29</x:f>
        <x:v>160880</x:v>
      </x:c>
    </x:row>
    <x:row r="30" ht="24" customHeight="1">
      <x:c r="A30" s="15"/>
      <x:c r="B30" s="10" t="s">
        <x:v>30</x:v>
      </x:c>
      <x:c r="C30" s="3" t="s">
        <x:v>17</x:v>
      </x:c>
      <x:c r="D30" s="3" t="s">
        <x:v>18</x:v>
      </x:c>
      <x:c r="E30" s="10" t="s">
        <x:v>19</x:v>
      </x:c>
      <x:c r="F30" s="4">
        <x:v>3.23</x:v>
      </x:c>
      <x:c r="G30" s="16" t="n">
        <x:v>250</x:v>
      </x:c>
      <x:c r="H30" s="16">
        <x:v>4.47</x:v>
      </x:c>
      <x:c r="I30" s="17">
        <x:v>45</x:v>
      </x:c>
      <x:c r="J30" s="16" t="n">
        <x:v>42000</x:v>
      </x:c>
      <x:c r="K30" s="18" t="n">
        <x:f>ROUND(F30*G30,0)</x:f>
        <x:v>808</x:v>
      </x:c>
      <x:c r="L30" s="18" t="n">
        <x:f>ROUND(H30*J30,0)</x:f>
        <x:v>187740</x:v>
      </x:c>
      <x:c r="M30" s="18" t="n">
        <x:f>ROUND(F30*1850,0)</x:f>
        <x:v>5976</x:v>
      </x:c>
      <x:c r="N30" s="18" t="n">
        <x:f>SUM(K30:M30)</x:f>
        <x:v>194524</x:v>
      </x:c>
      <x:c r="O30" s="18" t="n">
        <x:f>ROUND(N30*3%,0)</x:f>
        <x:v>5836</x:v>
      </x:c>
      <x:c r="P30" s="18" t="n">
        <x:f>N30+O30</x:f>
        <x:v>200360</x:v>
      </x:c>
    </x:row>
    <x:row r="31" ht="24" customHeight="1">
      <x:c r="A31" s="11"/>
      <x:c r="B31" s="11"/>
      <x:c r="C31" s="3" t="s">
        <x:v>20</x:v>
      </x:c>
      <x:c r="D31" s="3" t="s">
        <x:v>21</x:v>
      </x:c>
      <x:c r="E31" s="11"/>
      <x:c r="F31" s="4">
        <x:v>3.61</x:v>
      </x:c>
      <x:c r="G31" s="19" t="n">
        <x:v>5790</x:v>
      </x:c>
      <x:c r="H31" s="20"/>
      <x:c r="I31" s="20"/>
      <x:c r="J31" s="20"/>
      <x:c r="K31" s="18" t="n">
        <x:f>ROUND(F31*G31,0)</x:f>
        <x:v>20902</x:v>
      </x:c>
      <x:c r="L31" s="18" t="n">
        <x:f>ROUND(H30*J30,0)</x:f>
        <x:v>187740</x:v>
      </x:c>
      <x:c r="M31" s="18" t="n">
        <x:f>ROUND(F31*1850,0)</x:f>
        <x:v>6679</x:v>
      </x:c>
      <x:c r="N31" s="18" t="n">
        <x:f>SUM(K31:M31)</x:f>
        <x:v>215321</x:v>
      </x:c>
      <x:c r="O31" s="18" t="n">
        <x:f>ROUND(N31*3%,0)</x:f>
        <x:v>6460</x:v>
      </x:c>
      <x:c r="P31" s="18" t="n">
        <x:f>N31+O31</x:f>
        <x:v>221781</x:v>
      </x:c>
    </x:row>
    <x:row r="32" ht="24" customHeight="1">
      <x:c r="A32" s="11"/>
      <x:c r="B32" s="11"/>
      <x:c r="C32" s="3" t="s">
        <x:v>20</x:v>
      </x:c>
      <x:c r="D32" s="3" t="s">
        <x:v>22</x:v>
      </x:c>
      <x:c r="E32" s="11"/>
      <x:c r="F32" s="4">
        <x:v>4.0374999999999996</x:v>
      </x:c>
      <x:c r="G32" s="19" t="n">
        <x:v>9003</x:v>
      </x:c>
      <x:c r="H32" s="20"/>
      <x:c r="I32" s="20"/>
      <x:c r="J32" s="20"/>
      <x:c r="K32" s="18" t="n">
        <x:f>ROUND(F32*G32,0)</x:f>
        <x:v>36350</x:v>
      </x:c>
      <x:c r="L32" s="18" t="n">
        <x:f>ROUND(H30*J30,0)</x:f>
        <x:v>187740</x:v>
      </x:c>
      <x:c r="M32" s="18" t="n">
        <x:f>ROUND(F32*1850,0)</x:f>
        <x:v>7469</x:v>
      </x:c>
      <x:c r="N32" s="18" t="n">
        <x:f>SUM(K32:M32)</x:f>
        <x:v>231559</x:v>
      </x:c>
      <x:c r="O32" s="18" t="n">
        <x:f>ROUND(N32*3%,0)</x:f>
        <x:v>6947</x:v>
      </x:c>
      <x:c r="P32" s="18" t="n">
        <x:f>N32+O32</x:f>
        <x:v>238506</x:v>
      </x:c>
    </x:row>
    <x:row r="33" ht="24" customHeight="1">
      <x:c r="A33" s="12"/>
      <x:c r="B33" s="12"/>
      <x:c r="C33" s="3" t="s">
        <x:v>20</x:v>
      </x:c>
      <x:c r="D33" s="3" t="s">
        <x:v>23</x:v>
      </x:c>
      <x:c r="E33" s="12"/>
      <x:c r="F33" s="4">
        <x:v>4.75</x:v>
      </x:c>
      <x:c r="G33" s="21" t="n">
        <x:v>11576</x:v>
      </x:c>
      <x:c r="H33" s="22"/>
      <x:c r="I33" s="22"/>
      <x:c r="J33" s="22"/>
      <x:c r="K33" s="18" t="n">
        <x:f>ROUND(F33*G33,0)</x:f>
        <x:v>54986</x:v>
      </x:c>
      <x:c r="L33" s="18" t="n">
        <x:f>ROUND(H30*J30,0)</x:f>
        <x:v>187740</x:v>
      </x:c>
      <x:c r="M33" s="18" t="n">
        <x:f>ROUND(F33*1850,0)</x:f>
        <x:v>8788</x:v>
      </x:c>
      <x:c r="N33" s="18" t="n">
        <x:f>SUM(K33:M33)</x:f>
        <x:v>251514</x:v>
      </x:c>
      <x:c r="O33" s="18" t="n">
        <x:f>ROUND(N33*3%,0)</x:f>
        <x:v>7545</x:v>
      </x:c>
      <x:c r="P33" s="18" t="n">
        <x:f>N33+O33</x:f>
        <x:v>259059</x:v>
      </x:c>
    </x:row>
    <x:row r="34" ht="24" customHeight="1">
      <x:c r="A34" s="15"/>
      <x:c r="B34" s="10" t="s">
        <x:v>31</x:v>
      </x:c>
      <x:c r="C34" s="3" t="s">
        <x:v>17</x:v>
      </x:c>
      <x:c r="D34" s="3" t="s">
        <x:v>18</x:v>
      </x:c>
      <x:c r="E34" s="10" t="s">
        <x:v>19</x:v>
      </x:c>
      <x:c r="F34" s="4">
        <x:v>3.1619999999999999</x:v>
      </x:c>
      <x:c r="G34" s="16" t="n">
        <x:v>250</x:v>
      </x:c>
      <x:c r="H34" s="16">
        <x:v>3.58</x:v>
      </x:c>
      <x:c r="I34" s="17">
        <x:v>5</x:v>
      </x:c>
      <x:c r="J34" s="16" t="n">
        <x:v>42000</x:v>
      </x:c>
      <x:c r="K34" s="18" t="n">
        <x:f>ROUND(F34*G34,0)</x:f>
        <x:v>791</x:v>
      </x:c>
      <x:c r="L34" s="18" t="n">
        <x:f>ROUND(H34*J34,0)</x:f>
        <x:v>150360</x:v>
      </x:c>
      <x:c r="M34" s="18" t="n">
        <x:f>ROUND(F34*1850,0)</x:f>
        <x:v>5850</x:v>
      </x:c>
      <x:c r="N34" s="18" t="n">
        <x:f>SUM(K34:M34)</x:f>
        <x:v>157001</x:v>
      </x:c>
      <x:c r="O34" s="18" t="n">
        <x:f>ROUND(N34*3%,0)</x:f>
        <x:v>4710</x:v>
      </x:c>
      <x:c r="P34" s="18" t="n">
        <x:f>N34+O34</x:f>
        <x:v>161711</x:v>
      </x:c>
    </x:row>
    <x:row r="35" ht="24" customHeight="1">
      <x:c r="A35" s="11"/>
      <x:c r="B35" s="11"/>
      <x:c r="C35" s="3" t="s">
        <x:v>20</x:v>
      </x:c>
      <x:c r="D35" s="3" t="s">
        <x:v>21</x:v>
      </x:c>
      <x:c r="E35" s="11"/>
      <x:c r="F35" s="4">
        <x:v>3.5339999999999998</x:v>
      </x:c>
      <x:c r="G35" s="19" t="n">
        <x:v>5790</x:v>
      </x:c>
      <x:c r="H35" s="20"/>
      <x:c r="I35" s="20"/>
      <x:c r="J35" s="20"/>
      <x:c r="K35" s="18" t="n">
        <x:f>ROUND(F35*G35,0)</x:f>
        <x:v>20462</x:v>
      </x:c>
      <x:c r="L35" s="18" t="n">
        <x:f>ROUND(H34*J34,0)</x:f>
        <x:v>150360</x:v>
      </x:c>
      <x:c r="M35" s="18" t="n">
        <x:f>ROUND(F35*1850,0)</x:f>
        <x:v>6538</x:v>
      </x:c>
      <x:c r="N35" s="18" t="n">
        <x:f>SUM(K35:M35)</x:f>
        <x:v>177360</x:v>
      </x:c>
      <x:c r="O35" s="18" t="n">
        <x:f>ROUND(N35*3%,0)</x:f>
        <x:v>5321</x:v>
      </x:c>
      <x:c r="P35" s="18" t="n">
        <x:f>N35+O35</x:f>
        <x:v>182681</x:v>
      </x:c>
    </x:row>
    <x:row r="36" ht="24" customHeight="1">
      <x:c r="A36" s="11"/>
      <x:c r="B36" s="11"/>
      <x:c r="C36" s="3" t="s">
        <x:v>20</x:v>
      </x:c>
      <x:c r="D36" s="3" t="s">
        <x:v>22</x:v>
      </x:c>
      <x:c r="E36" s="11"/>
      <x:c r="F36" s="4">
        <x:v>3.9525000000000001</x:v>
      </x:c>
      <x:c r="G36" s="19" t="n">
        <x:v>9003</x:v>
      </x:c>
      <x:c r="H36" s="20"/>
      <x:c r="I36" s="20"/>
      <x:c r="J36" s="20"/>
      <x:c r="K36" s="18" t="n">
        <x:f>ROUND(F36*G36,0)</x:f>
        <x:v>35584</x:v>
      </x:c>
      <x:c r="L36" s="18" t="n">
        <x:f>ROUND(H34*J34,0)</x:f>
        <x:v>150360</x:v>
      </x:c>
      <x:c r="M36" s="18" t="n">
        <x:f>ROUND(F36*1850,0)</x:f>
        <x:v>7312</x:v>
      </x:c>
      <x:c r="N36" s="18" t="n">
        <x:f>SUM(K36:M36)</x:f>
        <x:v>193256</x:v>
      </x:c>
      <x:c r="O36" s="18" t="n">
        <x:f>ROUND(N36*3%,0)</x:f>
        <x:v>5798</x:v>
      </x:c>
      <x:c r="P36" s="18" t="n">
        <x:f>N36+O36</x:f>
        <x:v>199054</x:v>
      </x:c>
    </x:row>
    <x:row r="37" ht="24" customHeight="1">
      <x:c r="A37" s="12"/>
      <x:c r="B37" s="12"/>
      <x:c r="C37" s="3" t="s">
        <x:v>20</x:v>
      </x:c>
      <x:c r="D37" s="3" t="s">
        <x:v>23</x:v>
      </x:c>
      <x:c r="E37" s="12"/>
      <x:c r="F37" s="4">
        <x:v>4.6500000000000004</x:v>
      </x:c>
      <x:c r="G37" s="21" t="n">
        <x:v>11576</x:v>
      </x:c>
      <x:c r="H37" s="22"/>
      <x:c r="I37" s="22"/>
      <x:c r="J37" s="22"/>
      <x:c r="K37" s="18" t="n">
        <x:f>ROUND(F37*G37,0)</x:f>
        <x:v>53828</x:v>
      </x:c>
      <x:c r="L37" s="18" t="n">
        <x:f>ROUND(H34*J34,0)</x:f>
        <x:v>150360</x:v>
      </x:c>
      <x:c r="M37" s="18" t="n">
        <x:f>ROUND(F37*1850,0)</x:f>
        <x:v>8603</x:v>
      </x:c>
      <x:c r="N37" s="18" t="n">
        <x:f>SUM(K37:M37)</x:f>
        <x:v>212791</x:v>
      </x:c>
      <x:c r="O37" s="18" t="n">
        <x:f>ROUND(N37*3%,0)</x:f>
        <x:v>6384</x:v>
      </x:c>
      <x:c r="P37" s="18" t="n">
        <x:f>N37+O37</x:f>
        <x:v>219175</x:v>
      </x:c>
    </x:row>
    <x:row r="38" ht="24" customHeight="1">
      <x:c r="A38" s="15"/>
      <x:c r="B38" s="10" t="s">
        <x:v>32</x:v>
      </x:c>
      <x:c r="C38" s="3" t="s">
        <x:v>17</x:v>
      </x:c>
      <x:c r="D38" s="3" t="s">
        <x:v>18</x:v>
      </x:c>
      <x:c r="E38" s="10" t="s">
        <x:v>19</x:v>
      </x:c>
      <x:c r="F38" s="4">
        <x:v>2.6179999999999999</x:v>
      </x:c>
      <x:c r="G38" s="16" t="n">
        <x:v>250</x:v>
      </x:c>
      <x:c r="H38" s="16">
        <x:v>1.53</x:v>
      </x:c>
      <x:c r="I38" s="17">
        <x:v>37</x:v>
      </x:c>
      <x:c r="J38" s="16" t="n">
        <x:v>42000</x:v>
      </x:c>
      <x:c r="K38" s="18" t="n">
        <x:f>ROUND(F38*G38,0)</x:f>
        <x:v>655</x:v>
      </x:c>
      <x:c r="L38" s="18" t="n">
        <x:f>ROUND(H38*J38,0)</x:f>
        <x:v>64260</x:v>
      </x:c>
      <x:c r="M38" s="18" t="n">
        <x:f>ROUND(F38*1850,0)</x:f>
        <x:v>4843</x:v>
      </x:c>
      <x:c r="N38" s="18" t="n">
        <x:f>SUM(K38:M38)</x:f>
        <x:v>69758</x:v>
      </x:c>
      <x:c r="O38" s="18" t="n">
        <x:f>ROUND(N38*3%,0)</x:f>
        <x:v>2093</x:v>
      </x:c>
      <x:c r="P38" s="18" t="n">
        <x:f>N38+O38</x:f>
        <x:v>71851</x:v>
      </x:c>
    </x:row>
    <x:row r="39" ht="24" customHeight="1">
      <x:c r="A39" s="11"/>
      <x:c r="B39" s="11"/>
      <x:c r="C39" s="3" t="s">
        <x:v>20</x:v>
      </x:c>
      <x:c r="D39" s="3" t="s">
        <x:v>21</x:v>
      </x:c>
      <x:c r="E39" s="11"/>
      <x:c r="F39" s="4">
        <x:v>2.9260000000000002</x:v>
      </x:c>
      <x:c r="G39" s="19" t="n">
        <x:v>5790</x:v>
      </x:c>
      <x:c r="H39" s="20"/>
      <x:c r="I39" s="20"/>
      <x:c r="J39" s="20"/>
      <x:c r="K39" s="18" t="n">
        <x:f>ROUND(F39*G39,0)</x:f>
        <x:v>16942</x:v>
      </x:c>
      <x:c r="L39" s="18" t="n">
        <x:f>ROUND(H38*J38,0)</x:f>
        <x:v>64260</x:v>
      </x:c>
      <x:c r="M39" s="18" t="n">
        <x:f>ROUND(F39*1850,0)</x:f>
        <x:v>5413</x:v>
      </x:c>
      <x:c r="N39" s="18" t="n">
        <x:f>SUM(K39:M39)</x:f>
        <x:v>86615</x:v>
      </x:c>
      <x:c r="O39" s="18" t="n">
        <x:f>ROUND(N39*3%,0)</x:f>
        <x:v>2598</x:v>
      </x:c>
      <x:c r="P39" s="18" t="n">
        <x:f>N39+O39</x:f>
        <x:v>89213</x:v>
      </x:c>
    </x:row>
    <x:row r="40" ht="24" customHeight="1">
      <x:c r="A40" s="11"/>
      <x:c r="B40" s="11"/>
      <x:c r="C40" s="3" t="s">
        <x:v>20</x:v>
      </x:c>
      <x:c r="D40" s="3" t="s">
        <x:v>22</x:v>
      </x:c>
      <x:c r="E40" s="11"/>
      <x:c r="F40" s="4">
        <x:v>3.2725</x:v>
      </x:c>
      <x:c r="G40" s="19" t="n">
        <x:v>9003</x:v>
      </x:c>
      <x:c r="H40" s="20"/>
      <x:c r="I40" s="20"/>
      <x:c r="J40" s="20"/>
      <x:c r="K40" s="18" t="n">
        <x:f>ROUND(F40*G40,0)</x:f>
        <x:v>29462</x:v>
      </x:c>
      <x:c r="L40" s="18" t="n">
        <x:f>ROUND(H38*J38,0)</x:f>
        <x:v>64260</x:v>
      </x:c>
      <x:c r="M40" s="18" t="n">
        <x:f>ROUND(F40*1850,0)</x:f>
        <x:v>6054</x:v>
      </x:c>
      <x:c r="N40" s="18" t="n">
        <x:f>SUM(K40:M40)</x:f>
        <x:v>99776</x:v>
      </x:c>
      <x:c r="O40" s="18" t="n">
        <x:f>ROUND(N40*3%,0)</x:f>
        <x:v>2993</x:v>
      </x:c>
      <x:c r="P40" s="18" t="n">
        <x:f>N40+O40</x:f>
        <x:v>102769</x:v>
      </x:c>
    </x:row>
    <x:row r="41" ht="24" customHeight="1">
      <x:c r="A41" s="12"/>
      <x:c r="B41" s="12"/>
      <x:c r="C41" s="3" t="s">
        <x:v>20</x:v>
      </x:c>
      <x:c r="D41" s="3" t="s">
        <x:v>23</x:v>
      </x:c>
      <x:c r="E41" s="12"/>
      <x:c r="F41" s="4">
        <x:v>3.85</x:v>
      </x:c>
      <x:c r="G41" s="21" t="n">
        <x:v>11576</x:v>
      </x:c>
      <x:c r="H41" s="22"/>
      <x:c r="I41" s="22"/>
      <x:c r="J41" s="22"/>
      <x:c r="K41" s="18" t="n">
        <x:f>ROUND(F41*G41,0)</x:f>
        <x:v>44568</x:v>
      </x:c>
      <x:c r="L41" s="18" t="n">
        <x:f>ROUND(H38*J38,0)</x:f>
        <x:v>64260</x:v>
      </x:c>
      <x:c r="M41" s="18" t="n">
        <x:f>ROUND(F41*1850,0)</x:f>
        <x:v>7123</x:v>
      </x:c>
      <x:c r="N41" s="18" t="n">
        <x:f>SUM(K41:M41)</x:f>
        <x:v>115951</x:v>
      </x:c>
      <x:c r="O41" s="18" t="n">
        <x:f>ROUND(N41*3%,0)</x:f>
        <x:v>3479</x:v>
      </x:c>
      <x:c r="P41" s="18" t="n">
        <x:f>N41+O41</x:f>
        <x:v>119430</x:v>
      </x:c>
    </x:row>
    <x:row r="42" ht="24" customHeight="1">
      <x:c r="A42" s="15"/>
      <x:c r="B42" s="10" t="s">
        <x:v>33</x:v>
      </x:c>
      <x:c r="C42" s="3" t="s">
        <x:v>17</x:v>
      </x:c>
      <x:c r="D42" s="3" t="s">
        <x:v>18</x:v>
      </x:c>
      <x:c r="E42" s="10" t="s">
        <x:v>19</x:v>
      </x:c>
      <x:c r="F42" s="4">
        <x:v>2.38</x:v>
      </x:c>
      <x:c r="G42" s="16" t="n">
        <x:v>250</x:v>
      </x:c>
      <x:c r="H42" s="16">
        <x:v>1.3240000000000001</x:v>
      </x:c>
      <x:c r="I42" s="17">
        <x:v>19</x:v>
      </x:c>
      <x:c r="J42" s="16" t="n">
        <x:v>42000</x:v>
      </x:c>
      <x:c r="K42" s="18" t="n">
        <x:f>ROUND(F42*G42,0)</x:f>
        <x:v>595</x:v>
      </x:c>
      <x:c r="L42" s="18" t="n">
        <x:f>ROUND(H42*J42,0)</x:f>
        <x:v>55608</x:v>
      </x:c>
      <x:c r="M42" s="18" t="n">
        <x:f>ROUND(F42*1850,0)</x:f>
        <x:v>4403</x:v>
      </x:c>
      <x:c r="N42" s="18" t="n">
        <x:f>SUM(K42:M42)</x:f>
        <x:v>60606</x:v>
      </x:c>
      <x:c r="O42" s="18" t="n">
        <x:f>ROUND(N42*3%,0)</x:f>
        <x:v>1818</x:v>
      </x:c>
      <x:c r="P42" s="18" t="n">
        <x:f>N42+O42</x:f>
        <x:v>62424</x:v>
      </x:c>
    </x:row>
    <x:row r="43" ht="24" customHeight="1">
      <x:c r="A43" s="11"/>
      <x:c r="B43" s="11"/>
      <x:c r="C43" s="3" t="s">
        <x:v>20</x:v>
      </x:c>
      <x:c r="D43" s="3" t="s">
        <x:v>21</x:v>
      </x:c>
      <x:c r="E43" s="11"/>
      <x:c r="F43" s="4">
        <x:v>2.66</x:v>
      </x:c>
      <x:c r="G43" s="19" t="n">
        <x:v>5790</x:v>
      </x:c>
      <x:c r="H43" s="20"/>
      <x:c r="I43" s="20"/>
      <x:c r="J43" s="20"/>
      <x:c r="K43" s="18" t="n">
        <x:f>ROUND(F43*G43,0)</x:f>
        <x:v>15401</x:v>
      </x:c>
      <x:c r="L43" s="18" t="n">
        <x:f>ROUND(H42*J42,0)</x:f>
        <x:v>55608</x:v>
      </x:c>
      <x:c r="M43" s="18" t="n">
        <x:f>ROUND(F43*1850,0)</x:f>
        <x:v>4921</x:v>
      </x:c>
      <x:c r="N43" s="18" t="n">
        <x:f>SUM(K43:M43)</x:f>
        <x:v>75930</x:v>
      </x:c>
      <x:c r="O43" s="18" t="n">
        <x:f>ROUND(N43*3%,0)</x:f>
        <x:v>2278</x:v>
      </x:c>
      <x:c r="P43" s="18" t="n">
        <x:f>N43+O43</x:f>
        <x:v>78208</x:v>
      </x:c>
    </x:row>
    <x:row r="44" ht="24" customHeight="1">
      <x:c r="A44" s="11"/>
      <x:c r="B44" s="11"/>
      <x:c r="C44" s="3" t="s">
        <x:v>20</x:v>
      </x:c>
      <x:c r="D44" s="3" t="s">
        <x:v>22</x:v>
      </x:c>
      <x:c r="E44" s="11"/>
      <x:c r="F44" s="4">
        <x:v>2.9750000000000001</x:v>
      </x:c>
      <x:c r="G44" s="19" t="n">
        <x:v>9003</x:v>
      </x:c>
      <x:c r="H44" s="20"/>
      <x:c r="I44" s="20"/>
      <x:c r="J44" s="20"/>
      <x:c r="K44" s="18" t="n">
        <x:f>ROUND(F44*G44,0)</x:f>
        <x:v>26784</x:v>
      </x:c>
      <x:c r="L44" s="18" t="n">
        <x:f>ROUND(H42*J42,0)</x:f>
        <x:v>55608</x:v>
      </x:c>
      <x:c r="M44" s="18" t="n">
        <x:f>ROUND(F44*1850,0)</x:f>
        <x:v>5504</x:v>
      </x:c>
      <x:c r="N44" s="18" t="n">
        <x:f>SUM(K44:M44)</x:f>
        <x:v>87896</x:v>
      </x:c>
      <x:c r="O44" s="18" t="n">
        <x:f>ROUND(N44*3%,0)</x:f>
        <x:v>2637</x:v>
      </x:c>
      <x:c r="P44" s="18" t="n">
        <x:f>N44+O44</x:f>
        <x:v>90533</x:v>
      </x:c>
    </x:row>
    <x:row r="45" ht="24" customHeight="1">
      <x:c r="A45" s="12"/>
      <x:c r="B45" s="12"/>
      <x:c r="C45" s="3" t="s">
        <x:v>20</x:v>
      </x:c>
      <x:c r="D45" s="3" t="s">
        <x:v>23</x:v>
      </x:c>
      <x:c r="E45" s="12"/>
      <x:c r="F45" s="4">
        <x:v>3.5</x:v>
      </x:c>
      <x:c r="G45" s="21" t="n">
        <x:v>11576</x:v>
      </x:c>
      <x:c r="H45" s="22"/>
      <x:c r="I45" s="22"/>
      <x:c r="J45" s="22"/>
      <x:c r="K45" s="18" t="n">
        <x:f>ROUND(F45*G45,0)</x:f>
        <x:v>40516</x:v>
      </x:c>
      <x:c r="L45" s="18" t="n">
        <x:f>ROUND(H42*J42,0)</x:f>
        <x:v>55608</x:v>
      </x:c>
      <x:c r="M45" s="18" t="n">
        <x:f>ROUND(F45*1850,0)</x:f>
        <x:v>6475</x:v>
      </x:c>
      <x:c r="N45" s="18" t="n">
        <x:f>SUM(K45:M45)</x:f>
        <x:v>102599</x:v>
      </x:c>
      <x:c r="O45" s="18" t="n">
        <x:f>ROUND(N45*3%,0)</x:f>
        <x:v>3078</x:v>
      </x:c>
      <x:c r="P45" s="18" t="n">
        <x:f>N45+O45</x:f>
        <x:v>105677</x:v>
      </x:c>
    </x:row>
    <x:row r="46" ht="24" customHeight="1">
      <x:c r="A46" s="15"/>
      <x:c r="B46" s="10" t="s">
        <x:v>34</x:v>
      </x:c>
      <x:c r="C46" s="3" t="s">
        <x:v>17</x:v>
      </x:c>
      <x:c r="D46" s="3" t="s">
        <x:v>18</x:v>
      </x:c>
      <x:c r="E46" s="10" t="s">
        <x:v>19</x:v>
      </x:c>
      <x:c r="F46" s="4">
        <x:v>2.8559999999999999</x:v>
      </x:c>
      <x:c r="G46" s="16" t="n">
        <x:v>250</x:v>
      </x:c>
      <x:c r="H46" s="16">
        <x:v>1</x:v>
      </x:c>
      <x:c r="I46" s="17">
        <x:v>1</x:v>
      </x:c>
      <x:c r="J46" s="16" t="n">
        <x:v>42000</x:v>
      </x:c>
      <x:c r="K46" s="18" t="n">
        <x:f>ROUND(F46*G46,0)</x:f>
        <x:v>714</x:v>
      </x:c>
      <x:c r="L46" s="18" t="n">
        <x:f>ROUND(H46*J46,0)</x:f>
        <x:v>42000</x:v>
      </x:c>
      <x:c r="M46" s="18" t="n">
        <x:f>ROUND(F46*1850,0)</x:f>
        <x:v>5284</x:v>
      </x:c>
      <x:c r="N46" s="18" t="n">
        <x:f>SUM(K46:M46)</x:f>
        <x:v>47998</x:v>
      </x:c>
      <x:c r="O46" s="18" t="n">
        <x:f>ROUND(N46*3%,0)</x:f>
        <x:v>1440</x:v>
      </x:c>
      <x:c r="P46" s="18" t="n">
        <x:f>N46+O46</x:f>
        <x:v>49438</x:v>
      </x:c>
    </x:row>
    <x:row r="47" ht="24" customHeight="1">
      <x:c r="A47" s="11"/>
      <x:c r="B47" s="11"/>
      <x:c r="C47" s="3" t="s">
        <x:v>20</x:v>
      </x:c>
      <x:c r="D47" s="3" t="s">
        <x:v>21</x:v>
      </x:c>
      <x:c r="E47" s="11"/>
      <x:c r="F47" s="4">
        <x:v>3.1920000000000002</x:v>
      </x:c>
      <x:c r="G47" s="19" t="n">
        <x:v>5790</x:v>
      </x:c>
      <x:c r="H47" s="20"/>
      <x:c r="I47" s="20"/>
      <x:c r="J47" s="20"/>
      <x:c r="K47" s="18" t="n">
        <x:f>ROUND(F47*G47,0)</x:f>
        <x:v>18482</x:v>
      </x:c>
      <x:c r="L47" s="18" t="n">
        <x:f>ROUND(H46*J46,0)</x:f>
        <x:v>42000</x:v>
      </x:c>
      <x:c r="M47" s="18" t="n">
        <x:f>ROUND(F47*1850,0)</x:f>
        <x:v>5905</x:v>
      </x:c>
      <x:c r="N47" s="18" t="n">
        <x:f>SUM(K47:M47)</x:f>
        <x:v>66387</x:v>
      </x:c>
      <x:c r="O47" s="18" t="n">
        <x:f>ROUND(N47*3%,0)</x:f>
        <x:v>1992</x:v>
      </x:c>
      <x:c r="P47" s="18" t="n">
        <x:f>N47+O47</x:f>
        <x:v>68379</x:v>
      </x:c>
    </x:row>
    <x:row r="48" ht="24" customHeight="1">
      <x:c r="A48" s="11"/>
      <x:c r="B48" s="11"/>
      <x:c r="C48" s="3" t="s">
        <x:v>20</x:v>
      </x:c>
      <x:c r="D48" s="3" t="s">
        <x:v>22</x:v>
      </x:c>
      <x:c r="E48" s="11"/>
      <x:c r="F48" s="4">
        <x:v>3.57</x:v>
      </x:c>
      <x:c r="G48" s="19" t="n">
        <x:v>9003</x:v>
      </x:c>
      <x:c r="H48" s="20"/>
      <x:c r="I48" s="20"/>
      <x:c r="J48" s="20"/>
      <x:c r="K48" s="18" t="n">
        <x:f>ROUND(F48*G48,0)</x:f>
        <x:v>32141</x:v>
      </x:c>
      <x:c r="L48" s="18" t="n">
        <x:f>ROUND(H46*J46,0)</x:f>
        <x:v>42000</x:v>
      </x:c>
      <x:c r="M48" s="18" t="n">
        <x:f>ROUND(F48*1850,0)</x:f>
        <x:v>6605</x:v>
      </x:c>
      <x:c r="N48" s="18" t="n">
        <x:f>SUM(K48:M48)</x:f>
        <x:v>80746</x:v>
      </x:c>
      <x:c r="O48" s="18" t="n">
        <x:f>ROUND(N48*3%,0)</x:f>
        <x:v>2422</x:v>
      </x:c>
      <x:c r="P48" s="18" t="n">
        <x:f>N48+O48</x:f>
        <x:v>83168</x:v>
      </x:c>
    </x:row>
    <x:row r="49" ht="24" customHeight="1">
      <x:c r="A49" s="12"/>
      <x:c r="B49" s="12"/>
      <x:c r="C49" s="3" t="s">
        <x:v>20</x:v>
      </x:c>
      <x:c r="D49" s="3" t="s">
        <x:v>23</x:v>
      </x:c>
      <x:c r="E49" s="12"/>
      <x:c r="F49" s="4">
        <x:v>4.2</x:v>
      </x:c>
      <x:c r="G49" s="21" t="n">
        <x:v>11576</x:v>
      </x:c>
      <x:c r="H49" s="22"/>
      <x:c r="I49" s="22"/>
      <x:c r="J49" s="22"/>
      <x:c r="K49" s="18" t="n">
        <x:f>ROUND(F49*G49,0)</x:f>
        <x:v>48619</x:v>
      </x:c>
      <x:c r="L49" s="18" t="n">
        <x:f>ROUND(H46*J46,0)</x:f>
        <x:v>42000</x:v>
      </x:c>
      <x:c r="M49" s="18" t="n">
        <x:f>ROUND(F49*1850,0)</x:f>
        <x:v>7770</x:v>
      </x:c>
      <x:c r="N49" s="18" t="n">
        <x:f>SUM(K49:M49)</x:f>
        <x:v>98389</x:v>
      </x:c>
      <x:c r="O49" s="18" t="n">
        <x:f>ROUND(N49*3%,0)</x:f>
        <x:v>2952</x:v>
      </x:c>
      <x:c r="P49" s="18" t="n">
        <x:f>N49+O49</x:f>
        <x:v>101341</x:v>
      </x:c>
    </x:row>
    <x:row r="50" ht="24" customHeight="1">
      <x:c r="A50" s="15"/>
      <x:c r="B50" s="10" t="s">
        <x:v>35</x:v>
      </x:c>
      <x:c r="C50" s="3" t="s">
        <x:v>17</x:v>
      </x:c>
      <x:c r="D50" s="3" t="s">
        <x:v>18</x:v>
      </x:c>
      <x:c r="E50" s="10" t="s">
        <x:v>19</x:v>
      </x:c>
      <x:c r="F50" s="4">
        <x:v>2.2440000000000002</x:v>
      </x:c>
      <x:c r="G50" s="16" t="n">
        <x:v>250</x:v>
      </x:c>
      <x:c r="H50" s="16">
        <x:v>1</x:v>
      </x:c>
      <x:c r="I50" s="17">
        <x:v>1</x:v>
      </x:c>
      <x:c r="J50" s="16" t="n">
        <x:v>42000</x:v>
      </x:c>
      <x:c r="K50" s="18" t="n">
        <x:f>ROUND(F50*G50,0)</x:f>
        <x:v>561</x:v>
      </x:c>
      <x:c r="L50" s="18" t="n">
        <x:f>ROUND(H50*J50,0)</x:f>
        <x:v>42000</x:v>
      </x:c>
      <x:c r="M50" s="18" t="n">
        <x:f>ROUND(F50*1850,0)</x:f>
        <x:v>4151</x:v>
      </x:c>
      <x:c r="N50" s="18" t="n">
        <x:f>SUM(K50:M50)</x:f>
        <x:v>46712</x:v>
      </x:c>
      <x:c r="O50" s="18" t="n">
        <x:f>ROUND(N50*3%,0)</x:f>
        <x:v>1401</x:v>
      </x:c>
      <x:c r="P50" s="18" t="n">
        <x:f>N50+O50</x:f>
        <x:v>48113</x:v>
      </x:c>
    </x:row>
    <x:row r="51" ht="24" customHeight="1">
      <x:c r="A51" s="11"/>
      <x:c r="B51" s="11"/>
      <x:c r="C51" s="3" t="s">
        <x:v>20</x:v>
      </x:c>
      <x:c r="D51" s="3" t="s">
        <x:v>21</x:v>
      </x:c>
      <x:c r="E51" s="11"/>
      <x:c r="F51" s="4">
        <x:v>2.508</x:v>
      </x:c>
      <x:c r="G51" s="19" t="n">
        <x:v>5790</x:v>
      </x:c>
      <x:c r="H51" s="20"/>
      <x:c r="I51" s="20"/>
      <x:c r="J51" s="20"/>
      <x:c r="K51" s="18" t="n">
        <x:f>ROUND(F51*G51,0)</x:f>
        <x:v>14521</x:v>
      </x:c>
      <x:c r="L51" s="18" t="n">
        <x:f>ROUND(H50*J50,0)</x:f>
        <x:v>42000</x:v>
      </x:c>
      <x:c r="M51" s="18" t="n">
        <x:f>ROUND(F51*1850,0)</x:f>
        <x:v>4640</x:v>
      </x:c>
      <x:c r="N51" s="18" t="n">
        <x:f>SUM(K51:M51)</x:f>
        <x:v>61161</x:v>
      </x:c>
      <x:c r="O51" s="18" t="n">
        <x:f>ROUND(N51*3%,0)</x:f>
        <x:v>1835</x:v>
      </x:c>
      <x:c r="P51" s="18" t="n">
        <x:f>N51+O51</x:f>
        <x:v>62996</x:v>
      </x:c>
    </x:row>
    <x:row r="52" ht="24" customHeight="1">
      <x:c r="A52" s="11"/>
      <x:c r="B52" s="11"/>
      <x:c r="C52" s="3" t="s">
        <x:v>20</x:v>
      </x:c>
      <x:c r="D52" s="3" t="s">
        <x:v>22</x:v>
      </x:c>
      <x:c r="E52" s="11"/>
      <x:c r="F52" s="4">
        <x:v>2.8050000000000002</x:v>
      </x:c>
      <x:c r="G52" s="19" t="n">
        <x:v>9003</x:v>
      </x:c>
      <x:c r="H52" s="20"/>
      <x:c r="I52" s="20"/>
      <x:c r="J52" s="20"/>
      <x:c r="K52" s="18" t="n">
        <x:f>ROUND(F52*G52,0)</x:f>
        <x:v>25253</x:v>
      </x:c>
      <x:c r="L52" s="18" t="n">
        <x:f>ROUND(H50*J50,0)</x:f>
        <x:v>42000</x:v>
      </x:c>
      <x:c r="M52" s="18" t="n">
        <x:f>ROUND(F52*1850,0)</x:f>
        <x:v>5189</x:v>
      </x:c>
      <x:c r="N52" s="18" t="n">
        <x:f>SUM(K52:M52)</x:f>
        <x:v>72442</x:v>
      </x:c>
      <x:c r="O52" s="18" t="n">
        <x:f>ROUND(N52*3%,0)</x:f>
        <x:v>2173</x:v>
      </x:c>
      <x:c r="P52" s="18" t="n">
        <x:f>N52+O52</x:f>
        <x:v>74615</x:v>
      </x:c>
    </x:row>
    <x:row r="53" ht="24" customHeight="1">
      <x:c r="A53" s="12"/>
      <x:c r="B53" s="12"/>
      <x:c r="C53" s="3" t="s">
        <x:v>20</x:v>
      </x:c>
      <x:c r="D53" s="3" t="s">
        <x:v>23</x:v>
      </x:c>
      <x:c r="E53" s="12"/>
      <x:c r="F53" s="4">
        <x:v>3.3</x:v>
      </x:c>
      <x:c r="G53" s="21" t="n">
        <x:v>11576</x:v>
      </x:c>
      <x:c r="H53" s="22"/>
      <x:c r="I53" s="22"/>
      <x:c r="J53" s="22"/>
      <x:c r="K53" s="18" t="n">
        <x:f>ROUND(F53*G53,0)</x:f>
        <x:v>38201</x:v>
      </x:c>
      <x:c r="L53" s="18" t="n">
        <x:f>ROUND(H50*J50,0)</x:f>
        <x:v>42000</x:v>
      </x:c>
      <x:c r="M53" s="18" t="n">
        <x:f>ROUND(F53*1850,0)</x:f>
        <x:v>6105</x:v>
      </x:c>
      <x:c r="N53" s="18" t="n">
        <x:f>SUM(K53:M53)</x:f>
        <x:v>86306</x:v>
      </x:c>
      <x:c r="O53" s="18" t="n">
        <x:f>ROUND(N53*3%,0)</x:f>
        <x:v>2589</x:v>
      </x:c>
      <x:c r="P53" s="18" t="n">
        <x:f>N53+O53</x:f>
        <x:v>88895</x:v>
      </x:c>
    </x:row>
    <x:row r="54" ht="24" customHeight="1">
      <x:c r="A54" s="15"/>
      <x:c r="B54" s="10" t="s">
        <x:v>36</x:v>
      </x:c>
      <x:c r="C54" s="3" t="s">
        <x:v>17</x:v>
      </x:c>
      <x:c r="D54" s="3" t="s">
        <x:v>18</x:v>
      </x:c>
      <x:c r="E54" s="10" t="s">
        <x:v>19</x:v>
      </x:c>
      <x:c r="F54" s="4">
        <x:v>3.0939999999999999</x:v>
      </x:c>
      <x:c r="G54" s="16" t="n">
        <x:v>250</x:v>
      </x:c>
      <x:c r="H54" s="16">
        <x:v>1</x:v>
      </x:c>
      <x:c r="I54" s="17">
        <x:v>1</x:v>
      </x:c>
      <x:c r="J54" s="16" t="n">
        <x:v>42000</x:v>
      </x:c>
      <x:c r="K54" s="18" t="n">
        <x:f>ROUND(F54*G54,0)</x:f>
        <x:v>774</x:v>
      </x:c>
      <x:c r="L54" s="18" t="n">
        <x:f>ROUND(H54*J54,0)</x:f>
        <x:v>42000</x:v>
      </x:c>
      <x:c r="M54" s="18" t="n">
        <x:f>ROUND(F54*1850,0)</x:f>
        <x:v>5724</x:v>
      </x:c>
      <x:c r="N54" s="18" t="n">
        <x:f>SUM(K54:M54)</x:f>
        <x:v>48498</x:v>
      </x:c>
      <x:c r="O54" s="18" t="n">
        <x:f>ROUND(N54*3%,0)</x:f>
        <x:v>1455</x:v>
      </x:c>
      <x:c r="P54" s="18" t="n">
        <x:f>N54+O54</x:f>
        <x:v>49953</x:v>
      </x:c>
    </x:row>
    <x:row r="55" ht="24" customHeight="1">
      <x:c r="A55" s="11"/>
      <x:c r="B55" s="11"/>
      <x:c r="C55" s="3" t="s">
        <x:v>20</x:v>
      </x:c>
      <x:c r="D55" s="3" t="s">
        <x:v>21</x:v>
      </x:c>
      <x:c r="E55" s="11"/>
      <x:c r="F55" s="4">
        <x:v>3.4580000000000002</x:v>
      </x:c>
      <x:c r="G55" s="19" t="n">
        <x:v>5790</x:v>
      </x:c>
      <x:c r="H55" s="20"/>
      <x:c r="I55" s="20"/>
      <x:c r="J55" s="20"/>
      <x:c r="K55" s="18" t="n">
        <x:f>ROUND(F55*G55,0)</x:f>
        <x:v>20022</x:v>
      </x:c>
      <x:c r="L55" s="18" t="n">
        <x:f>ROUND(H54*J54,0)</x:f>
        <x:v>42000</x:v>
      </x:c>
      <x:c r="M55" s="18" t="n">
        <x:f>ROUND(F55*1850,0)</x:f>
        <x:v>6397</x:v>
      </x:c>
      <x:c r="N55" s="18" t="n">
        <x:f>SUM(K55:M55)</x:f>
        <x:v>68419</x:v>
      </x:c>
      <x:c r="O55" s="18" t="n">
        <x:f>ROUND(N55*3%,0)</x:f>
        <x:v>2053</x:v>
      </x:c>
      <x:c r="P55" s="18" t="n">
        <x:f>N55+O55</x:f>
        <x:v>70472</x:v>
      </x:c>
    </x:row>
    <x:row r="56" ht="24" customHeight="1">
      <x:c r="A56" s="11"/>
      <x:c r="B56" s="11"/>
      <x:c r="C56" s="3" t="s">
        <x:v>20</x:v>
      </x:c>
      <x:c r="D56" s="3" t="s">
        <x:v>22</x:v>
      </x:c>
      <x:c r="E56" s="11"/>
      <x:c r="F56" s="4">
        <x:v>3.8675000000000002</x:v>
      </x:c>
      <x:c r="G56" s="19" t="n">
        <x:v>9003</x:v>
      </x:c>
      <x:c r="H56" s="20"/>
      <x:c r="I56" s="20"/>
      <x:c r="J56" s="20"/>
      <x:c r="K56" s="18" t="n">
        <x:f>ROUND(F56*G56,0)</x:f>
        <x:v>34819</x:v>
      </x:c>
      <x:c r="L56" s="18" t="n">
        <x:f>ROUND(H54*J54,0)</x:f>
        <x:v>42000</x:v>
      </x:c>
      <x:c r="M56" s="18" t="n">
        <x:f>ROUND(F56*1850,0)</x:f>
        <x:v>7155</x:v>
      </x:c>
      <x:c r="N56" s="18" t="n">
        <x:f>SUM(K56:M56)</x:f>
        <x:v>83974</x:v>
      </x:c>
      <x:c r="O56" s="18" t="n">
        <x:f>ROUND(N56*3%,0)</x:f>
        <x:v>2519</x:v>
      </x:c>
      <x:c r="P56" s="18" t="n">
        <x:f>N56+O56</x:f>
        <x:v>86493</x:v>
      </x:c>
    </x:row>
    <x:row r="57" ht="24" customHeight="1">
      <x:c r="A57" s="12"/>
      <x:c r="B57" s="12"/>
      <x:c r="C57" s="3" t="s">
        <x:v>20</x:v>
      </x:c>
      <x:c r="D57" s="3" t="s">
        <x:v>23</x:v>
      </x:c>
      <x:c r="E57" s="12"/>
      <x:c r="F57" s="4">
        <x:v>4.55</x:v>
      </x:c>
      <x:c r="G57" s="21" t="n">
        <x:v>11576</x:v>
      </x:c>
      <x:c r="H57" s="22"/>
      <x:c r="I57" s="22"/>
      <x:c r="J57" s="22"/>
      <x:c r="K57" s="18" t="n">
        <x:f>ROUND(F57*G57,0)</x:f>
        <x:v>52671</x:v>
      </x:c>
      <x:c r="L57" s="18" t="n">
        <x:f>ROUND(H54*J54,0)</x:f>
        <x:v>42000</x:v>
      </x:c>
      <x:c r="M57" s="18" t="n">
        <x:f>ROUND(F57*1850,0)</x:f>
        <x:v>8418</x:v>
      </x:c>
      <x:c r="N57" s="18" t="n">
        <x:f>SUM(K57:M57)</x:f>
        <x:v>103089</x:v>
      </x:c>
      <x:c r="O57" s="18" t="n">
        <x:f>ROUND(N57*3%,0)</x:f>
        <x:v>3093</x:v>
      </x:c>
      <x:c r="P57" s="18" t="n">
        <x:f>N57+O57</x:f>
        <x:v>106182</x:v>
      </x:c>
    </x:row>
    <x:row r="58" ht="24" customHeight="1">
      <x:c r="A58" s="15"/>
      <x:c r="B58" s="10" t="s">
        <x:v>37</x:v>
      </x:c>
      <x:c r="C58" s="3" t="s">
        <x:v>17</x:v>
      </x:c>
      <x:c r="D58" s="3" t="s">
        <x:v>18</x:v>
      </x:c>
      <x:c r="E58" s="10" t="s">
        <x:v>19</x:v>
      </x:c>
      <x:c r="F58" s="4">
        <x:v>3.774</x:v>
      </x:c>
      <x:c r="G58" s="16" t="n">
        <x:v>250</x:v>
      </x:c>
      <x:c r="H58" s="16">
        <x:v>1.1160000000000001</x:v>
      </x:c>
      <x:c r="I58" s="17">
        <x:v>15</x:v>
      </x:c>
      <x:c r="J58" s="16" t="n">
        <x:v>42000</x:v>
      </x:c>
      <x:c r="K58" s="18" t="n">
        <x:f>ROUND(F58*G58,0)</x:f>
        <x:v>944</x:v>
      </x:c>
      <x:c r="L58" s="18" t="n">
        <x:f>ROUND(H58*J58,0)</x:f>
        <x:v>46872</x:v>
      </x:c>
      <x:c r="M58" s="18" t="n">
        <x:f>ROUND(F58*1850,0)</x:f>
        <x:v>6982</x:v>
      </x:c>
      <x:c r="N58" s="18" t="n">
        <x:f>SUM(K58:M58)</x:f>
        <x:v>54798</x:v>
      </x:c>
      <x:c r="O58" s="18" t="n">
        <x:f>ROUND(N58*3%,0)</x:f>
        <x:v>1644</x:v>
      </x:c>
      <x:c r="P58" s="18" t="n">
        <x:f>N58+O58</x:f>
        <x:v>56442</x:v>
      </x:c>
    </x:row>
    <x:row r="59" ht="24" customHeight="1">
      <x:c r="A59" s="11"/>
      <x:c r="B59" s="11"/>
      <x:c r="C59" s="3" t="s">
        <x:v>20</x:v>
      </x:c>
      <x:c r="D59" s="3" t="s">
        <x:v>21</x:v>
      </x:c>
      <x:c r="E59" s="11"/>
      <x:c r="F59" s="4">
        <x:v>4.218</x:v>
      </x:c>
      <x:c r="G59" s="19" t="n">
        <x:v>5790</x:v>
      </x:c>
      <x:c r="H59" s="20"/>
      <x:c r="I59" s="20"/>
      <x:c r="J59" s="20"/>
      <x:c r="K59" s="18" t="n">
        <x:f>ROUND(F59*G59,0)</x:f>
        <x:v>24422</x:v>
      </x:c>
      <x:c r="L59" s="18" t="n">
        <x:f>ROUND(H58*J58,0)</x:f>
        <x:v>46872</x:v>
      </x:c>
      <x:c r="M59" s="18" t="n">
        <x:f>ROUND(F59*1850,0)</x:f>
        <x:v>7803</x:v>
      </x:c>
      <x:c r="N59" s="18" t="n">
        <x:f>SUM(K59:M59)</x:f>
        <x:v>79097</x:v>
      </x:c>
      <x:c r="O59" s="18" t="n">
        <x:f>ROUND(N59*3%,0)</x:f>
        <x:v>2373</x:v>
      </x:c>
      <x:c r="P59" s="18" t="n">
        <x:f>N59+O59</x:f>
        <x:v>81470</x:v>
      </x:c>
    </x:row>
    <x:row r="60" ht="24" customHeight="1">
      <x:c r="A60" s="11"/>
      <x:c r="B60" s="11"/>
      <x:c r="C60" s="3" t="s">
        <x:v>20</x:v>
      </x:c>
      <x:c r="D60" s="3" t="s">
        <x:v>22</x:v>
      </x:c>
      <x:c r="E60" s="11"/>
      <x:c r="F60" s="4">
        <x:v>4.7175000000000002</x:v>
      </x:c>
      <x:c r="G60" s="19" t="n">
        <x:v>9003</x:v>
      </x:c>
      <x:c r="H60" s="20"/>
      <x:c r="I60" s="20"/>
      <x:c r="J60" s="20"/>
      <x:c r="K60" s="18" t="n">
        <x:f>ROUND(F60*G60,0)</x:f>
        <x:v>42472</x:v>
      </x:c>
      <x:c r="L60" s="18" t="n">
        <x:f>ROUND(H58*J58,0)</x:f>
        <x:v>46872</x:v>
      </x:c>
      <x:c r="M60" s="18" t="n">
        <x:f>ROUND(F60*1850,0)</x:f>
        <x:v>8727</x:v>
      </x:c>
      <x:c r="N60" s="18" t="n">
        <x:f>SUM(K60:M60)</x:f>
        <x:v>98071</x:v>
      </x:c>
      <x:c r="O60" s="18" t="n">
        <x:f>ROUND(N60*3%,0)</x:f>
        <x:v>2942</x:v>
      </x:c>
      <x:c r="P60" s="18" t="n">
        <x:f>N60+O60</x:f>
        <x:v>101013</x:v>
      </x:c>
    </x:row>
    <x:row r="61" ht="24" customHeight="1">
      <x:c r="A61" s="12"/>
      <x:c r="B61" s="12"/>
      <x:c r="C61" s="3" t="s">
        <x:v>20</x:v>
      </x:c>
      <x:c r="D61" s="3" t="s">
        <x:v>23</x:v>
      </x:c>
      <x:c r="E61" s="12"/>
      <x:c r="F61" s="4">
        <x:v>5.55</x:v>
      </x:c>
      <x:c r="G61" s="21" t="n">
        <x:v>11576</x:v>
      </x:c>
      <x:c r="H61" s="22"/>
      <x:c r="I61" s="22"/>
      <x:c r="J61" s="22"/>
      <x:c r="K61" s="18" t="n">
        <x:f>ROUND(F61*G61,0)</x:f>
        <x:v>64247</x:v>
      </x:c>
      <x:c r="L61" s="18" t="n">
        <x:f>ROUND(H58*J58,0)</x:f>
        <x:v>46872</x:v>
      </x:c>
      <x:c r="M61" s="18" t="n">
        <x:f>ROUND(F61*1850,0)</x:f>
        <x:v>10268</x:v>
      </x:c>
      <x:c r="N61" s="18" t="n">
        <x:f>SUM(K61:M61)</x:f>
        <x:v>121387</x:v>
      </x:c>
      <x:c r="O61" s="18" t="n">
        <x:f>ROUND(N61*3%,0)</x:f>
        <x:v>3642</x:v>
      </x:c>
      <x:c r="P61" s="18" t="n">
        <x:f>N61+O61</x:f>
        <x:v>125029</x:v>
      </x:c>
    </x:row>
    <x:row r="62" ht="24" customHeight="1">
      <x:c r="A62" s="15"/>
      <x:c r="B62" s="10" t="s">
        <x:v>38</x:v>
      </x:c>
      <x:c r="C62" s="3" t="s">
        <x:v>17</x:v>
      </x:c>
      <x:c r="D62" s="3" t="s">
        <x:v>18</x:v>
      </x:c>
      <x:c r="E62" s="10" t="s">
        <x:v>19</x:v>
      </x:c>
      <x:c r="F62" s="4">
        <x:v>2.1760000000000002</x:v>
      </x:c>
      <x:c r="G62" s="16" t="n">
        <x:v>250</x:v>
      </x:c>
      <x:c r="H62" s="16">
        <x:v>1.54</x:v>
      </x:c>
      <x:c r="I62" s="17">
        <x:v>13</x:v>
      </x:c>
      <x:c r="J62" s="16" t="n">
        <x:v>42000</x:v>
      </x:c>
      <x:c r="K62" s="18" t="n">
        <x:f>ROUND(F62*G62,0)</x:f>
        <x:v>544</x:v>
      </x:c>
      <x:c r="L62" s="18" t="n">
        <x:f>ROUND(H62*J62,0)</x:f>
        <x:v>64680</x:v>
      </x:c>
      <x:c r="M62" s="18" t="n">
        <x:f>ROUND(F62*1850,0)</x:f>
        <x:v>4026</x:v>
      </x:c>
      <x:c r="N62" s="18" t="n">
        <x:f>SUM(K62:M62)</x:f>
        <x:v>69250</x:v>
      </x:c>
      <x:c r="O62" s="18" t="n">
        <x:f>ROUND(N62*3%,0)</x:f>
        <x:v>2078</x:v>
      </x:c>
      <x:c r="P62" s="18" t="n">
        <x:f>N62+O62</x:f>
        <x:v>71328</x:v>
      </x:c>
    </x:row>
    <x:row r="63" ht="24" customHeight="1">
      <x:c r="A63" s="11"/>
      <x:c r="B63" s="11"/>
      <x:c r="C63" s="3" t="s">
        <x:v>20</x:v>
      </x:c>
      <x:c r="D63" s="3" t="s">
        <x:v>21</x:v>
      </x:c>
      <x:c r="E63" s="11"/>
      <x:c r="F63" s="4">
        <x:v>2.4319999999999999</x:v>
      </x:c>
      <x:c r="G63" s="19" t="n">
        <x:v>5790</x:v>
      </x:c>
      <x:c r="H63" s="20"/>
      <x:c r="I63" s="20"/>
      <x:c r="J63" s="20"/>
      <x:c r="K63" s="18" t="n">
        <x:f>ROUND(F63*G63,0)</x:f>
        <x:v>14081</x:v>
      </x:c>
      <x:c r="L63" s="18" t="n">
        <x:f>ROUND(H62*J62,0)</x:f>
        <x:v>64680</x:v>
      </x:c>
      <x:c r="M63" s="18" t="n">
        <x:f>ROUND(F63*1850,0)</x:f>
        <x:v>4499</x:v>
      </x:c>
      <x:c r="N63" s="18" t="n">
        <x:f>SUM(K63:M63)</x:f>
        <x:v>83260</x:v>
      </x:c>
      <x:c r="O63" s="18" t="n">
        <x:f>ROUND(N63*3%,0)</x:f>
        <x:v>2498</x:v>
      </x:c>
      <x:c r="P63" s="18" t="n">
        <x:f>N63+O63</x:f>
        <x:v>85758</x:v>
      </x:c>
    </x:row>
    <x:row r="64" ht="24" customHeight="1">
      <x:c r="A64" s="11"/>
      <x:c r="B64" s="11"/>
      <x:c r="C64" s="3" t="s">
        <x:v>20</x:v>
      </x:c>
      <x:c r="D64" s="3" t="s">
        <x:v>22</x:v>
      </x:c>
      <x:c r="E64" s="11"/>
      <x:c r="F64" s="4">
        <x:v>2.72</x:v>
      </x:c>
      <x:c r="G64" s="19" t="n">
        <x:v>9003</x:v>
      </x:c>
      <x:c r="H64" s="20"/>
      <x:c r="I64" s="20"/>
      <x:c r="J64" s="20"/>
      <x:c r="K64" s="18" t="n">
        <x:f>ROUND(F64*G64,0)</x:f>
        <x:v>24488</x:v>
      </x:c>
      <x:c r="L64" s="18" t="n">
        <x:f>ROUND(H62*J62,0)</x:f>
        <x:v>64680</x:v>
      </x:c>
      <x:c r="M64" s="18" t="n">
        <x:f>ROUND(F64*1850,0)</x:f>
        <x:v>5032</x:v>
      </x:c>
      <x:c r="N64" s="18" t="n">
        <x:f>SUM(K64:M64)</x:f>
        <x:v>94200</x:v>
      </x:c>
      <x:c r="O64" s="18" t="n">
        <x:f>ROUND(N64*3%,0)</x:f>
        <x:v>2826</x:v>
      </x:c>
      <x:c r="P64" s="18" t="n">
        <x:f>N64+O64</x:f>
        <x:v>97026</x:v>
      </x:c>
    </x:row>
    <x:row r="65" ht="24" customHeight="1">
      <x:c r="A65" s="12"/>
      <x:c r="B65" s="12"/>
      <x:c r="C65" s="3" t="s">
        <x:v>20</x:v>
      </x:c>
      <x:c r="D65" s="3" t="s">
        <x:v>23</x:v>
      </x:c>
      <x:c r="E65" s="12"/>
      <x:c r="F65" s="4">
        <x:v>3.2</x:v>
      </x:c>
      <x:c r="G65" s="21" t="n">
        <x:v>11576</x:v>
      </x:c>
      <x:c r="H65" s="22"/>
      <x:c r="I65" s="22"/>
      <x:c r="J65" s="22"/>
      <x:c r="K65" s="18" t="n">
        <x:f>ROUND(F65*G65,0)</x:f>
        <x:v>37043</x:v>
      </x:c>
      <x:c r="L65" s="18" t="n">
        <x:f>ROUND(H62*J62,0)</x:f>
        <x:v>64680</x:v>
      </x:c>
      <x:c r="M65" s="18" t="n">
        <x:f>ROUND(F65*1850,0)</x:f>
        <x:v>5920</x:v>
      </x:c>
      <x:c r="N65" s="18" t="n">
        <x:f>SUM(K65:M65)</x:f>
        <x:v>107643</x:v>
      </x:c>
      <x:c r="O65" s="18" t="n">
        <x:f>ROUND(N65*3%,0)</x:f>
        <x:v>3229</x:v>
      </x:c>
      <x:c r="P65" s="18" t="n">
        <x:f>N65+O65</x:f>
        <x:v>110872</x:v>
      </x:c>
    </x:row>
    <x:row r="66" ht="24" customHeight="1">
      <x:c r="A66" s="15"/>
      <x:c r="B66" s="10" t="s">
        <x:v>39</x:v>
      </x:c>
      <x:c r="C66" s="3" t="s">
        <x:v>17</x:v>
      </x:c>
      <x:c r="D66" s="3" t="s">
        <x:v>18</x:v>
      </x:c>
      <x:c r="E66" s="10" t="s">
        <x:v>19</x:v>
      </x:c>
      <x:c r="F66" s="4">
        <x:v>3.8079999999999998</x:v>
      </x:c>
      <x:c r="G66" s="16" t="n">
        <x:v>250</x:v>
      </x:c>
      <x:c r="H66" s="16">
        <x:v>1.25</x:v>
      </x:c>
      <x:c r="I66" s="17">
        <x:v>1</x:v>
      </x:c>
      <x:c r="J66" s="16" t="n">
        <x:v>42000</x:v>
      </x:c>
      <x:c r="K66" s="18" t="n">
        <x:f>ROUND(F66*G66,0)</x:f>
        <x:v>952</x:v>
      </x:c>
      <x:c r="L66" s="18" t="n">
        <x:f>ROUND(H66*J66,0)</x:f>
        <x:v>52500</x:v>
      </x:c>
      <x:c r="M66" s="18" t="n">
        <x:f>ROUND(F66*1850,0)</x:f>
        <x:v>7045</x:v>
      </x:c>
      <x:c r="N66" s="18" t="n">
        <x:f>SUM(K66:M66)</x:f>
        <x:v>60497</x:v>
      </x:c>
      <x:c r="O66" s="18" t="n">
        <x:f>ROUND(N66*3%,0)</x:f>
        <x:v>1815</x:v>
      </x:c>
      <x:c r="P66" s="18" t="n">
        <x:f>N66+O66</x:f>
        <x:v>62312</x:v>
      </x:c>
    </x:row>
    <x:row r="67" ht="24" customHeight="1">
      <x:c r="A67" s="11"/>
      <x:c r="B67" s="11"/>
      <x:c r="C67" s="3" t="s">
        <x:v>20</x:v>
      </x:c>
      <x:c r="D67" s="3" t="s">
        <x:v>21</x:v>
      </x:c>
      <x:c r="E67" s="11"/>
      <x:c r="F67" s="4">
        <x:v>4.2560000000000002</x:v>
      </x:c>
      <x:c r="G67" s="19" t="n">
        <x:v>5790</x:v>
      </x:c>
      <x:c r="H67" s="20"/>
      <x:c r="I67" s="20"/>
      <x:c r="J67" s="20"/>
      <x:c r="K67" s="18" t="n">
        <x:f>ROUND(F67*G67,0)</x:f>
        <x:v>24642</x:v>
      </x:c>
      <x:c r="L67" s="18" t="n">
        <x:f>ROUND(H66*J66,0)</x:f>
        <x:v>52500</x:v>
      </x:c>
      <x:c r="M67" s="18" t="n">
        <x:f>ROUND(F67*1850,0)</x:f>
        <x:v>7874</x:v>
      </x:c>
      <x:c r="N67" s="18" t="n">
        <x:f>SUM(K67:M67)</x:f>
        <x:v>85016</x:v>
      </x:c>
      <x:c r="O67" s="18" t="n">
        <x:f>ROUND(N67*3%,0)</x:f>
        <x:v>2550</x:v>
      </x:c>
      <x:c r="P67" s="18" t="n">
        <x:f>N67+O67</x:f>
        <x:v>87566</x:v>
      </x:c>
    </x:row>
    <x:row r="68" ht="24" customHeight="1">
      <x:c r="A68" s="11"/>
      <x:c r="B68" s="11"/>
      <x:c r="C68" s="3" t="s">
        <x:v>20</x:v>
      </x:c>
      <x:c r="D68" s="3" t="s">
        <x:v>22</x:v>
      </x:c>
      <x:c r="E68" s="11"/>
      <x:c r="F68" s="4">
        <x:v>4.76</x:v>
      </x:c>
      <x:c r="G68" s="19" t="n">
        <x:v>9003</x:v>
      </x:c>
      <x:c r="H68" s="20"/>
      <x:c r="I68" s="20"/>
      <x:c r="J68" s="20"/>
      <x:c r="K68" s="18" t="n">
        <x:f>ROUND(F68*G68,0)</x:f>
        <x:v>42854</x:v>
      </x:c>
      <x:c r="L68" s="18" t="n">
        <x:f>ROUND(H66*J66,0)</x:f>
        <x:v>52500</x:v>
      </x:c>
      <x:c r="M68" s="18" t="n">
        <x:f>ROUND(F68*1850,0)</x:f>
        <x:v>8806</x:v>
      </x:c>
      <x:c r="N68" s="18" t="n">
        <x:f>SUM(K68:M68)</x:f>
        <x:v>104160</x:v>
      </x:c>
      <x:c r="O68" s="18" t="n">
        <x:f>ROUND(N68*3%,0)</x:f>
        <x:v>3125</x:v>
      </x:c>
      <x:c r="P68" s="18" t="n">
        <x:f>N68+O68</x:f>
        <x:v>107285</x:v>
      </x:c>
    </x:row>
    <x:row r="69" ht="24" customHeight="1">
      <x:c r="A69" s="12"/>
      <x:c r="B69" s="12"/>
      <x:c r="C69" s="3" t="s">
        <x:v>20</x:v>
      </x:c>
      <x:c r="D69" s="3" t="s">
        <x:v>23</x:v>
      </x:c>
      <x:c r="E69" s="12"/>
      <x:c r="F69" s="4">
        <x:v>5.6</x:v>
      </x:c>
      <x:c r="G69" s="21" t="n">
        <x:v>11576</x:v>
      </x:c>
      <x:c r="H69" s="22"/>
      <x:c r="I69" s="22"/>
      <x:c r="J69" s="22"/>
      <x:c r="K69" s="18" t="n">
        <x:f>ROUND(F69*G69,0)</x:f>
        <x:v>64826</x:v>
      </x:c>
      <x:c r="L69" s="18" t="n">
        <x:f>ROUND(H66*J66,0)</x:f>
        <x:v>52500</x:v>
      </x:c>
      <x:c r="M69" s="18" t="n">
        <x:f>ROUND(F69*1850,0)</x:f>
        <x:v>10360</x:v>
      </x:c>
      <x:c r="N69" s="18" t="n">
        <x:f>SUM(K69:M69)</x:f>
        <x:v>127686</x:v>
      </x:c>
      <x:c r="O69" s="18" t="n">
        <x:f>ROUND(N69*3%,0)</x:f>
        <x:v>3831</x:v>
      </x:c>
      <x:c r="P69" s="18" t="n">
        <x:f>N69+O69</x:f>
        <x:v>131517</x:v>
      </x:c>
    </x:row>
    <x:row r="70" ht="24" customHeight="1">
      <x:c r="A70" s="15"/>
      <x:c r="B70" s="10" t="s">
        <x:v>40</x:v>
      </x:c>
      <x:c r="C70" s="3" t="s">
        <x:v>17</x:v>
      </x:c>
      <x:c r="D70" s="3" t="s">
        <x:v>18</x:v>
      </x:c>
      <x:c r="E70" s="10" t="s">
        <x:v>19</x:v>
      </x:c>
      <x:c r="F70" s="4">
        <x:v>2.3119999999999998</x:v>
      </x:c>
      <x:c r="G70" s="16" t="n">
        <x:v>250</x:v>
      </x:c>
      <x:c r="H70" s="16">
        <x:v>2.15</x:v>
      </x:c>
      <x:c r="I70" s="17">
        <x:v>11</x:v>
      </x:c>
      <x:c r="J70" s="16" t="n">
        <x:v>42000</x:v>
      </x:c>
      <x:c r="K70" s="18" t="n">
        <x:f>ROUND(F70*G70,0)</x:f>
        <x:v>578</x:v>
      </x:c>
      <x:c r="L70" s="18" t="n">
        <x:f>ROUND(H70*J70,0)</x:f>
        <x:v>90300</x:v>
      </x:c>
      <x:c r="M70" s="18" t="n">
        <x:f>ROUND(F70*1850,0)</x:f>
        <x:v>4277</x:v>
      </x:c>
      <x:c r="N70" s="18" t="n">
        <x:f>SUM(K70:M70)</x:f>
        <x:v>95155</x:v>
      </x:c>
      <x:c r="O70" s="18" t="n">
        <x:f>ROUND(N70*3%,0)</x:f>
        <x:v>2855</x:v>
      </x:c>
      <x:c r="P70" s="18" t="n">
        <x:f>N70+O70</x:f>
        <x:v>98010</x:v>
      </x:c>
    </x:row>
    <x:row r="71" ht="24" customHeight="1">
      <x:c r="A71" s="11"/>
      <x:c r="B71" s="11"/>
      <x:c r="C71" s="3" t="s">
        <x:v>20</x:v>
      </x:c>
      <x:c r="D71" s="3" t="s">
        <x:v>21</x:v>
      </x:c>
      <x:c r="E71" s="11"/>
      <x:c r="F71" s="4">
        <x:v>2.5840000000000001</x:v>
      </x:c>
      <x:c r="G71" s="19" t="n">
        <x:v>5790</x:v>
      </x:c>
      <x:c r="H71" s="20"/>
      <x:c r="I71" s="20"/>
      <x:c r="J71" s="20"/>
      <x:c r="K71" s="18" t="n">
        <x:f>ROUND(F71*G71,0)</x:f>
        <x:v>14961</x:v>
      </x:c>
      <x:c r="L71" s="18" t="n">
        <x:f>ROUND(H70*J70,0)</x:f>
        <x:v>90300</x:v>
      </x:c>
      <x:c r="M71" s="18" t="n">
        <x:f>ROUND(F71*1850,0)</x:f>
        <x:v>4780</x:v>
      </x:c>
      <x:c r="N71" s="18" t="n">
        <x:f>SUM(K71:M71)</x:f>
        <x:v>110041</x:v>
      </x:c>
      <x:c r="O71" s="18" t="n">
        <x:f>ROUND(N71*3%,0)</x:f>
        <x:v>3301</x:v>
      </x:c>
      <x:c r="P71" s="18" t="n">
        <x:f>N71+O71</x:f>
        <x:v>113342</x:v>
      </x:c>
    </x:row>
    <x:row r="72" ht="24" customHeight="1">
      <x:c r="A72" s="11"/>
      <x:c r="B72" s="11"/>
      <x:c r="C72" s="3" t="s">
        <x:v>20</x:v>
      </x:c>
      <x:c r="D72" s="3" t="s">
        <x:v>22</x:v>
      </x:c>
      <x:c r="E72" s="11"/>
      <x:c r="F72" s="4">
        <x:v>2.89</x:v>
      </x:c>
      <x:c r="G72" s="19" t="n">
        <x:v>9003</x:v>
      </x:c>
      <x:c r="H72" s="20"/>
      <x:c r="I72" s="20"/>
      <x:c r="J72" s="20"/>
      <x:c r="K72" s="18" t="n">
        <x:f>ROUND(F72*G72,0)</x:f>
        <x:v>26019</x:v>
      </x:c>
      <x:c r="L72" s="18" t="n">
        <x:f>ROUND(H70*J70,0)</x:f>
        <x:v>90300</x:v>
      </x:c>
      <x:c r="M72" s="18" t="n">
        <x:f>ROUND(F72*1850,0)</x:f>
        <x:v>5347</x:v>
      </x:c>
      <x:c r="N72" s="18" t="n">
        <x:f>SUM(K72:M72)</x:f>
        <x:v>121666</x:v>
      </x:c>
      <x:c r="O72" s="18" t="n">
        <x:f>ROUND(N72*3%,0)</x:f>
        <x:v>3650</x:v>
      </x:c>
      <x:c r="P72" s="18" t="n">
        <x:f>N72+O72</x:f>
        <x:v>125316</x:v>
      </x:c>
    </x:row>
    <x:row r="73" ht="24" customHeight="1">
      <x:c r="A73" s="12"/>
      <x:c r="B73" s="12"/>
      <x:c r="C73" s="3" t="s">
        <x:v>20</x:v>
      </x:c>
      <x:c r="D73" s="3" t="s">
        <x:v>23</x:v>
      </x:c>
      <x:c r="E73" s="12"/>
      <x:c r="F73" s="4">
        <x:v>3.4</x:v>
      </x:c>
      <x:c r="G73" s="21" t="n">
        <x:v>11576</x:v>
      </x:c>
      <x:c r="H73" s="22"/>
      <x:c r="I73" s="22"/>
      <x:c r="J73" s="22"/>
      <x:c r="K73" s="18" t="n">
        <x:f>ROUND(F73*G73,0)</x:f>
        <x:v>39358</x:v>
      </x:c>
      <x:c r="L73" s="18" t="n">
        <x:f>ROUND(H70*J70,0)</x:f>
        <x:v>90300</x:v>
      </x:c>
      <x:c r="M73" s="18" t="n">
        <x:f>ROUND(F73*1850,0)</x:f>
        <x:v>6290</x:v>
      </x:c>
      <x:c r="N73" s="18" t="n">
        <x:f>SUM(K73:M73)</x:f>
        <x:v>135948</x:v>
      </x:c>
      <x:c r="O73" s="18" t="n">
        <x:f>ROUND(N73*3%,0)</x:f>
        <x:v>4078</x:v>
      </x:c>
      <x:c r="P73" s="18" t="n">
        <x:f>N73+O73</x:f>
        <x:v>140026</x:v>
      </x:c>
    </x:row>
    <x:row r="74" ht="24" customHeight="1">
      <x:c r="A74" s="15"/>
      <x:c r="B74" s="10" t="s">
        <x:v>41</x:v>
      </x:c>
      <x:c r="C74" s="3" t="s">
        <x:v>17</x:v>
      </x:c>
      <x:c r="D74" s="3" t="s">
        <x:v>18</x:v>
      </x:c>
      <x:c r="E74" s="10" t="s">
        <x:v>19</x:v>
      </x:c>
      <x:c r="F74" s="4">
        <x:v>2.4140000000000001</x:v>
      </x:c>
      <x:c r="G74" s="16" t="n">
        <x:v>250</x:v>
      </x:c>
      <x:c r="H74" s="16">
        <x:v>2.468</x:v>
      </x:c>
      <x:c r="I74" s="17">
        <x:v>43</x:v>
      </x:c>
      <x:c r="J74" s="16" t="n">
        <x:v>42000</x:v>
      </x:c>
      <x:c r="K74" s="18" t="n">
        <x:f>ROUND(F74*G74,0)</x:f>
        <x:v>604</x:v>
      </x:c>
      <x:c r="L74" s="18" t="n">
        <x:f>ROUND(H74*J74,0)</x:f>
        <x:v>103656</x:v>
      </x:c>
      <x:c r="M74" s="18" t="n">
        <x:f>ROUND(F74*1850,0)</x:f>
        <x:v>4466</x:v>
      </x:c>
      <x:c r="N74" s="18" t="n">
        <x:f>SUM(K74:M74)</x:f>
        <x:v>108726</x:v>
      </x:c>
      <x:c r="O74" s="18" t="n">
        <x:f>ROUND(N74*3%,0)</x:f>
        <x:v>3262</x:v>
      </x:c>
      <x:c r="P74" s="18" t="n">
        <x:f>N74+O74</x:f>
        <x:v>111988</x:v>
      </x:c>
    </x:row>
    <x:row r="75" ht="24" customHeight="1">
      <x:c r="A75" s="11"/>
      <x:c r="B75" s="11"/>
      <x:c r="C75" s="3" t="s">
        <x:v>20</x:v>
      </x:c>
      <x:c r="D75" s="3" t="s">
        <x:v>21</x:v>
      </x:c>
      <x:c r="E75" s="11"/>
      <x:c r="F75" s="4">
        <x:v>2.698</x:v>
      </x:c>
      <x:c r="G75" s="19" t="n">
        <x:v>5790</x:v>
      </x:c>
      <x:c r="H75" s="20"/>
      <x:c r="I75" s="20"/>
      <x:c r="J75" s="20"/>
      <x:c r="K75" s="18" t="n">
        <x:f>ROUND(F75*G75,0)</x:f>
        <x:v>15621</x:v>
      </x:c>
      <x:c r="L75" s="18" t="n">
        <x:f>ROUND(H74*J74,0)</x:f>
        <x:v>103656</x:v>
      </x:c>
      <x:c r="M75" s="18" t="n">
        <x:f>ROUND(F75*1850,0)</x:f>
        <x:v>4991</x:v>
      </x:c>
      <x:c r="N75" s="18" t="n">
        <x:f>SUM(K75:M75)</x:f>
        <x:v>124268</x:v>
      </x:c>
      <x:c r="O75" s="18" t="n">
        <x:f>ROUND(N75*3%,0)</x:f>
        <x:v>3728</x:v>
      </x:c>
      <x:c r="P75" s="18" t="n">
        <x:f>N75+O75</x:f>
        <x:v>127996</x:v>
      </x:c>
    </x:row>
    <x:row r="76" ht="24" customHeight="1">
      <x:c r="A76" s="11"/>
      <x:c r="B76" s="11"/>
      <x:c r="C76" s="3" t="s">
        <x:v>20</x:v>
      </x:c>
      <x:c r="D76" s="3" t="s">
        <x:v>22</x:v>
      </x:c>
      <x:c r="E76" s="11"/>
      <x:c r="F76" s="4">
        <x:v>3.0175000000000001</x:v>
      </x:c>
      <x:c r="G76" s="19" t="n">
        <x:v>9003</x:v>
      </x:c>
      <x:c r="H76" s="20"/>
      <x:c r="I76" s="20"/>
      <x:c r="J76" s="20"/>
      <x:c r="K76" s="18" t="n">
        <x:f>ROUND(F76*G76,0)</x:f>
        <x:v>27167</x:v>
      </x:c>
      <x:c r="L76" s="18" t="n">
        <x:f>ROUND(H74*J74,0)</x:f>
        <x:v>103656</x:v>
      </x:c>
      <x:c r="M76" s="18" t="n">
        <x:f>ROUND(F76*1850,0)</x:f>
        <x:v>5582</x:v>
      </x:c>
      <x:c r="N76" s="18" t="n">
        <x:f>SUM(K76:M76)</x:f>
        <x:v>136405</x:v>
      </x:c>
      <x:c r="O76" s="18" t="n">
        <x:f>ROUND(N76*3%,0)</x:f>
        <x:v>4092</x:v>
      </x:c>
      <x:c r="P76" s="18" t="n">
        <x:f>N76+O76</x:f>
        <x:v>140497</x:v>
      </x:c>
    </x:row>
    <x:row r="77" ht="24" customHeight="1">
      <x:c r="A77" s="12"/>
      <x:c r="B77" s="12"/>
      <x:c r="C77" s="3" t="s">
        <x:v>20</x:v>
      </x:c>
      <x:c r="D77" s="3" t="s">
        <x:v>23</x:v>
      </x:c>
      <x:c r="E77" s="12"/>
      <x:c r="F77" s="4">
        <x:v>3.55</x:v>
      </x:c>
      <x:c r="G77" s="21" t="n">
        <x:v>11576</x:v>
      </x:c>
      <x:c r="H77" s="22"/>
      <x:c r="I77" s="22"/>
      <x:c r="J77" s="22"/>
      <x:c r="K77" s="18" t="n">
        <x:f>ROUND(F77*G77,0)</x:f>
        <x:v>41095</x:v>
      </x:c>
      <x:c r="L77" s="18" t="n">
        <x:f>ROUND(H74*J74,0)</x:f>
        <x:v>103656</x:v>
      </x:c>
      <x:c r="M77" s="18" t="n">
        <x:f>ROUND(F77*1850,0)</x:f>
        <x:v>6568</x:v>
      </x:c>
      <x:c r="N77" s="18" t="n">
        <x:f>SUM(K77:M77)</x:f>
        <x:v>151319</x:v>
      </x:c>
      <x:c r="O77" s="18" t="n">
        <x:f>ROUND(N77*3%,0)</x:f>
        <x:v>4540</x:v>
      </x:c>
      <x:c r="P77" s="18" t="n">
        <x:f>N77+O77</x:f>
        <x:v>155859</x:v>
      </x:c>
    </x:row>
    <x:row r="78" ht="24" customHeight="1">
      <x:c r="A78" s="15"/>
      <x:c r="B78" s="10" t="s">
        <x:v>42</x:v>
      </x:c>
      <x:c r="C78" s="3" t="s">
        <x:v>17</x:v>
      </x:c>
      <x:c r="D78" s="3" t="s">
        <x:v>18</x:v>
      </x:c>
      <x:c r="E78" s="10" t="s">
        <x:v>19</x:v>
      </x:c>
      <x:c r="F78" s="4">
        <x:v>2.3119999999999998</x:v>
      </x:c>
      <x:c r="G78" s="16" t="n">
        <x:v>250</x:v>
      </x:c>
      <x:c r="H78" s="16">
        <x:v>1.716</x:v>
      </x:c>
      <x:c r="I78" s="17">
        <x:v>32</x:v>
      </x:c>
      <x:c r="J78" s="16" t="n">
        <x:v>42000</x:v>
      </x:c>
      <x:c r="K78" s="18" t="n">
        <x:f>ROUND(F78*G78,0)</x:f>
        <x:v>578</x:v>
      </x:c>
      <x:c r="L78" s="18" t="n">
        <x:f>ROUND(H78*J78,0)</x:f>
        <x:v>72072</x:v>
      </x:c>
      <x:c r="M78" s="18" t="n">
        <x:f>ROUND(F78*1850,0)</x:f>
        <x:v>4277</x:v>
      </x:c>
      <x:c r="N78" s="18" t="n">
        <x:f>SUM(K78:M78)</x:f>
        <x:v>76927</x:v>
      </x:c>
      <x:c r="O78" s="18" t="n">
        <x:f>ROUND(N78*3%,0)</x:f>
        <x:v>2308</x:v>
      </x:c>
      <x:c r="P78" s="18" t="n">
        <x:f>N78+O78</x:f>
        <x:v>79235</x:v>
      </x:c>
    </x:row>
    <x:row r="79" ht="24" customHeight="1">
      <x:c r="A79" s="11"/>
      <x:c r="B79" s="11"/>
      <x:c r="C79" s="3" t="s">
        <x:v>20</x:v>
      </x:c>
      <x:c r="D79" s="3" t="s">
        <x:v>21</x:v>
      </x:c>
      <x:c r="E79" s="11"/>
      <x:c r="F79" s="4">
        <x:v>2.5840000000000001</x:v>
      </x:c>
      <x:c r="G79" s="19" t="n">
        <x:v>5790</x:v>
      </x:c>
      <x:c r="H79" s="20"/>
      <x:c r="I79" s="20"/>
      <x:c r="J79" s="20"/>
      <x:c r="K79" s="18" t="n">
        <x:f>ROUND(F79*G79,0)</x:f>
        <x:v>14961</x:v>
      </x:c>
      <x:c r="L79" s="18" t="n">
        <x:f>ROUND(H78*J78,0)</x:f>
        <x:v>72072</x:v>
      </x:c>
      <x:c r="M79" s="18" t="n">
        <x:f>ROUND(F79*1850,0)</x:f>
        <x:v>4780</x:v>
      </x:c>
      <x:c r="N79" s="18" t="n">
        <x:f>SUM(K79:M79)</x:f>
        <x:v>91813</x:v>
      </x:c>
      <x:c r="O79" s="18" t="n">
        <x:f>ROUND(N79*3%,0)</x:f>
        <x:v>2754</x:v>
      </x:c>
      <x:c r="P79" s="18" t="n">
        <x:f>N79+O79</x:f>
        <x:v>94567</x:v>
      </x:c>
    </x:row>
    <x:row r="80" ht="24" customHeight="1">
      <x:c r="A80" s="11"/>
      <x:c r="B80" s="11"/>
      <x:c r="C80" s="3" t="s">
        <x:v>20</x:v>
      </x:c>
      <x:c r="D80" s="3" t="s">
        <x:v>22</x:v>
      </x:c>
      <x:c r="E80" s="11"/>
      <x:c r="F80" s="4">
        <x:v>2.89</x:v>
      </x:c>
      <x:c r="G80" s="19" t="n">
        <x:v>9003</x:v>
      </x:c>
      <x:c r="H80" s="20"/>
      <x:c r="I80" s="20"/>
      <x:c r="J80" s="20"/>
      <x:c r="K80" s="18" t="n">
        <x:f>ROUND(F80*G80,0)</x:f>
        <x:v>26019</x:v>
      </x:c>
      <x:c r="L80" s="18" t="n">
        <x:f>ROUND(H78*J78,0)</x:f>
        <x:v>72072</x:v>
      </x:c>
      <x:c r="M80" s="18" t="n">
        <x:f>ROUND(F80*1850,0)</x:f>
        <x:v>5347</x:v>
      </x:c>
      <x:c r="N80" s="18" t="n">
        <x:f>SUM(K80:M80)</x:f>
        <x:v>103438</x:v>
      </x:c>
      <x:c r="O80" s="18" t="n">
        <x:f>ROUND(N80*3%,0)</x:f>
        <x:v>3103</x:v>
      </x:c>
      <x:c r="P80" s="18" t="n">
        <x:f>N80+O80</x:f>
        <x:v>106541</x:v>
      </x:c>
    </x:row>
    <x:row r="81" ht="24" customHeight="1">
      <x:c r="A81" s="12"/>
      <x:c r="B81" s="12"/>
      <x:c r="C81" s="3" t="s">
        <x:v>20</x:v>
      </x:c>
      <x:c r="D81" s="3" t="s">
        <x:v>23</x:v>
      </x:c>
      <x:c r="E81" s="12"/>
      <x:c r="F81" s="4">
        <x:v>3.4</x:v>
      </x:c>
      <x:c r="G81" s="21" t="n">
        <x:v>11576</x:v>
      </x:c>
      <x:c r="H81" s="22"/>
      <x:c r="I81" s="22"/>
      <x:c r="J81" s="22"/>
      <x:c r="K81" s="18" t="n">
        <x:f>ROUND(F81*G81,0)</x:f>
        <x:v>39358</x:v>
      </x:c>
      <x:c r="L81" s="18" t="n">
        <x:f>ROUND(H78*J78,0)</x:f>
        <x:v>72072</x:v>
      </x:c>
      <x:c r="M81" s="18" t="n">
        <x:f>ROUND(F81*1850,0)</x:f>
        <x:v>6290</x:v>
      </x:c>
      <x:c r="N81" s="18" t="n">
        <x:f>SUM(K81:M81)</x:f>
        <x:v>117720</x:v>
      </x:c>
      <x:c r="O81" s="18" t="n">
        <x:f>ROUND(N81*3%,0)</x:f>
        <x:v>3532</x:v>
      </x:c>
      <x:c r="P81" s="18" t="n">
        <x:f>N81+O81</x:f>
        <x:v>121252</x:v>
      </x:c>
    </x:row>
    <x:row r="82" ht="24" customHeight="1">
      <x:c r="A82" s="15"/>
      <x:c r="B82" s="10" t="s">
        <x:v>43</x:v>
      </x:c>
      <x:c r="C82" s="3" t="s">
        <x:v>17</x:v>
      </x:c>
      <x:c r="D82" s="3" t="s">
        <x:v>18</x:v>
      </x:c>
      <x:c r="E82" s="10" t="s">
        <x:v>19</x:v>
      </x:c>
      <x:c r="F82" s="4">
        <x:v>2.278</x:v>
      </x:c>
      <x:c r="G82" s="16" t="n">
        <x:v>250</x:v>
      </x:c>
      <x:c r="H82" s="16">
        <x:v>0.94</x:v>
      </x:c>
      <x:c r="I82" s="17">
        <x:v>17</x:v>
      </x:c>
      <x:c r="J82" s="16" t="n">
        <x:v>42000</x:v>
      </x:c>
      <x:c r="K82" s="18" t="n">
        <x:f>ROUND(F82*G82,0)</x:f>
        <x:v>570</x:v>
      </x:c>
      <x:c r="L82" s="18" t="n">
        <x:f>ROUND(H82*J82,0)</x:f>
        <x:v>39480</x:v>
      </x:c>
      <x:c r="M82" s="18" t="n">
        <x:f>ROUND(F82*1850,0)</x:f>
        <x:v>4214</x:v>
      </x:c>
      <x:c r="N82" s="18" t="n">
        <x:f>SUM(K82:M82)</x:f>
        <x:v>44264</x:v>
      </x:c>
      <x:c r="O82" s="18" t="n">
        <x:f>ROUND(N82*3%,0)</x:f>
        <x:v>1328</x:v>
      </x:c>
      <x:c r="P82" s="18" t="n">
        <x:f>N82+O82</x:f>
        <x:v>45592</x:v>
      </x:c>
    </x:row>
    <x:row r="83" ht="24" customHeight="1">
      <x:c r="A83" s="11"/>
      <x:c r="B83" s="11"/>
      <x:c r="C83" s="3" t="s">
        <x:v>20</x:v>
      </x:c>
      <x:c r="D83" s="3" t="s">
        <x:v>21</x:v>
      </x:c>
      <x:c r="E83" s="11"/>
      <x:c r="F83" s="4">
        <x:v>2.5459999999999998</x:v>
      </x:c>
      <x:c r="G83" s="19" t="n">
        <x:v>5790</x:v>
      </x:c>
      <x:c r="H83" s="20"/>
      <x:c r="I83" s="20"/>
      <x:c r="J83" s="20"/>
      <x:c r="K83" s="18" t="n">
        <x:f>ROUND(F83*G83,0)</x:f>
        <x:v>14741</x:v>
      </x:c>
      <x:c r="L83" s="18" t="n">
        <x:f>ROUND(H82*J82,0)</x:f>
        <x:v>39480</x:v>
      </x:c>
      <x:c r="M83" s="18" t="n">
        <x:f>ROUND(F83*1850,0)</x:f>
        <x:v>4710</x:v>
      </x:c>
      <x:c r="N83" s="18" t="n">
        <x:f>SUM(K83:M83)</x:f>
        <x:v>58931</x:v>
      </x:c>
      <x:c r="O83" s="18" t="n">
        <x:f>ROUND(N83*3%,0)</x:f>
        <x:v>1768</x:v>
      </x:c>
      <x:c r="P83" s="18" t="n">
        <x:f>N83+O83</x:f>
        <x:v>60699</x:v>
      </x:c>
    </x:row>
    <x:row r="84" ht="24" customHeight="1">
      <x:c r="A84" s="11"/>
      <x:c r="B84" s="11"/>
      <x:c r="C84" s="3" t="s">
        <x:v>20</x:v>
      </x:c>
      <x:c r="D84" s="3" t="s">
        <x:v>22</x:v>
      </x:c>
      <x:c r="E84" s="11"/>
      <x:c r="F84" s="4">
        <x:v>2.8475000000000001</x:v>
      </x:c>
      <x:c r="G84" s="19" t="n">
        <x:v>9003</x:v>
      </x:c>
      <x:c r="H84" s="20"/>
      <x:c r="I84" s="20"/>
      <x:c r="J84" s="20"/>
      <x:c r="K84" s="18" t="n">
        <x:f>ROUND(F84*G84,0)</x:f>
        <x:v>25636</x:v>
      </x:c>
      <x:c r="L84" s="18" t="n">
        <x:f>ROUND(H82*J82,0)</x:f>
        <x:v>39480</x:v>
      </x:c>
      <x:c r="M84" s="18" t="n">
        <x:f>ROUND(F84*1850,0)</x:f>
        <x:v>5268</x:v>
      </x:c>
      <x:c r="N84" s="18" t="n">
        <x:f>SUM(K84:M84)</x:f>
        <x:v>70384</x:v>
      </x:c>
      <x:c r="O84" s="18" t="n">
        <x:f>ROUND(N84*3%,0)</x:f>
        <x:v>2112</x:v>
      </x:c>
      <x:c r="P84" s="18" t="n">
        <x:f>N84+O84</x:f>
        <x:v>72496</x:v>
      </x:c>
    </x:row>
    <x:row r="85" ht="24" customHeight="1">
      <x:c r="A85" s="12"/>
      <x:c r="B85" s="12"/>
      <x:c r="C85" s="3" t="s">
        <x:v>20</x:v>
      </x:c>
      <x:c r="D85" s="3" t="s">
        <x:v>23</x:v>
      </x:c>
      <x:c r="E85" s="12"/>
      <x:c r="F85" s="4">
        <x:v>3.35</x:v>
      </x:c>
      <x:c r="G85" s="21" t="n">
        <x:v>11576</x:v>
      </x:c>
      <x:c r="H85" s="22"/>
      <x:c r="I85" s="22"/>
      <x:c r="J85" s="22"/>
      <x:c r="K85" s="18" t="n">
        <x:f>ROUND(F85*G85,0)</x:f>
        <x:v>38780</x:v>
      </x:c>
      <x:c r="L85" s="18" t="n">
        <x:f>ROUND(H82*J82,0)</x:f>
        <x:v>39480</x:v>
      </x:c>
      <x:c r="M85" s="18" t="n">
        <x:f>ROUND(F85*1850,0)</x:f>
        <x:v>6198</x:v>
      </x:c>
      <x:c r="N85" s="18" t="n">
        <x:f>SUM(K85:M85)</x:f>
        <x:v>84458</x:v>
      </x:c>
      <x:c r="O85" s="18" t="n">
        <x:f>ROUND(N85*3%,0)</x:f>
        <x:v>2534</x:v>
      </x:c>
      <x:c r="P85" s="18" t="n">
        <x:f>N85+O85</x:f>
        <x:v>86992</x:v>
      </x:c>
    </x:row>
    <x:row r="86" ht="24" customHeight="1">
      <x:c r="A86" s="15"/>
      <x:c r="B86" s="10" t="s">
        <x:v>44</x:v>
      </x:c>
      <x:c r="C86" s="3" t="s">
        <x:v>17</x:v>
      </x:c>
      <x:c r="D86" s="3" t="s">
        <x:v>18</x:v>
      </x:c>
      <x:c r="E86" s="10" t="s">
        <x:v>19</x:v>
      </x:c>
      <x:c r="F86" s="4">
        <x:v>3.0939999999999999</x:v>
      </x:c>
      <x:c r="G86" s="16" t="n">
        <x:v>250</x:v>
      </x:c>
      <x:c r="H86" s="16">
        <x:v>2.44</x:v>
      </x:c>
      <x:c r="I86" s="17">
        <x:v>33</x:v>
      </x:c>
      <x:c r="J86" s="16" t="n">
        <x:v>42000</x:v>
      </x:c>
      <x:c r="K86" s="18" t="n">
        <x:f>ROUND(F86*G86,0)</x:f>
        <x:v>774</x:v>
      </x:c>
      <x:c r="L86" s="18" t="n">
        <x:f>ROUND(H86*J86,0)</x:f>
        <x:v>102480</x:v>
      </x:c>
      <x:c r="M86" s="18" t="n">
        <x:f>ROUND(F86*1850,0)</x:f>
        <x:v>5724</x:v>
      </x:c>
      <x:c r="N86" s="18" t="n">
        <x:f>SUM(K86:M86)</x:f>
        <x:v>108978</x:v>
      </x:c>
      <x:c r="O86" s="18" t="n">
        <x:f>ROUND(N86*3%,0)</x:f>
        <x:v>3269</x:v>
      </x:c>
      <x:c r="P86" s="18" t="n">
        <x:f>N86+O86</x:f>
        <x:v>112247</x:v>
      </x:c>
    </x:row>
    <x:row r="87" ht="24" customHeight="1">
      <x:c r="A87" s="11"/>
      <x:c r="B87" s="11"/>
      <x:c r="C87" s="3" t="s">
        <x:v>20</x:v>
      </x:c>
      <x:c r="D87" s="3" t="s">
        <x:v>21</x:v>
      </x:c>
      <x:c r="E87" s="11"/>
      <x:c r="F87" s="4">
        <x:v>3.4580000000000002</x:v>
      </x:c>
      <x:c r="G87" s="19" t="n">
        <x:v>5790</x:v>
      </x:c>
      <x:c r="H87" s="20"/>
      <x:c r="I87" s="20"/>
      <x:c r="J87" s="20"/>
      <x:c r="K87" s="18" t="n">
        <x:f>ROUND(F87*G87,0)</x:f>
        <x:v>20022</x:v>
      </x:c>
      <x:c r="L87" s="18" t="n">
        <x:f>ROUND(H86*J86,0)</x:f>
        <x:v>102480</x:v>
      </x:c>
      <x:c r="M87" s="18" t="n">
        <x:f>ROUND(F87*1850,0)</x:f>
        <x:v>6397</x:v>
      </x:c>
      <x:c r="N87" s="18" t="n">
        <x:f>SUM(K87:M87)</x:f>
        <x:v>128899</x:v>
      </x:c>
      <x:c r="O87" s="18" t="n">
        <x:f>ROUND(N87*3%,0)</x:f>
        <x:v>3867</x:v>
      </x:c>
      <x:c r="P87" s="18" t="n">
        <x:f>N87+O87</x:f>
        <x:v>132766</x:v>
      </x:c>
    </x:row>
    <x:row r="88" ht="24" customHeight="1">
      <x:c r="A88" s="11"/>
      <x:c r="B88" s="11"/>
      <x:c r="C88" s="3" t="s">
        <x:v>20</x:v>
      </x:c>
      <x:c r="D88" s="3" t="s">
        <x:v>22</x:v>
      </x:c>
      <x:c r="E88" s="11"/>
      <x:c r="F88" s="4">
        <x:v>3.8675000000000002</x:v>
      </x:c>
      <x:c r="G88" s="19" t="n">
        <x:v>9003</x:v>
      </x:c>
      <x:c r="H88" s="20"/>
      <x:c r="I88" s="20"/>
      <x:c r="J88" s="20"/>
      <x:c r="K88" s="18" t="n">
        <x:f>ROUND(F88*G88,0)</x:f>
        <x:v>34819</x:v>
      </x:c>
      <x:c r="L88" s="18" t="n">
        <x:f>ROUND(H86*J86,0)</x:f>
        <x:v>102480</x:v>
      </x:c>
      <x:c r="M88" s="18" t="n">
        <x:f>ROUND(F88*1850,0)</x:f>
        <x:v>7155</x:v>
      </x:c>
      <x:c r="N88" s="18" t="n">
        <x:f>SUM(K88:M88)</x:f>
        <x:v>144454</x:v>
      </x:c>
      <x:c r="O88" s="18" t="n">
        <x:f>ROUND(N88*3%,0)</x:f>
        <x:v>4334</x:v>
      </x:c>
      <x:c r="P88" s="18" t="n">
        <x:f>N88+O88</x:f>
        <x:v>148788</x:v>
      </x:c>
    </x:row>
    <x:row r="89" ht="24" customHeight="1">
      <x:c r="A89" s="12"/>
      <x:c r="B89" s="12"/>
      <x:c r="C89" s="3" t="s">
        <x:v>20</x:v>
      </x:c>
      <x:c r="D89" s="3" t="s">
        <x:v>23</x:v>
      </x:c>
      <x:c r="E89" s="12"/>
      <x:c r="F89" s="4">
        <x:v>4.55</x:v>
      </x:c>
      <x:c r="G89" s="21" t="n">
        <x:v>11576</x:v>
      </x:c>
      <x:c r="H89" s="22"/>
      <x:c r="I89" s="22"/>
      <x:c r="J89" s="22"/>
      <x:c r="K89" s="18" t="n">
        <x:f>ROUND(F89*G89,0)</x:f>
        <x:v>52671</x:v>
      </x:c>
      <x:c r="L89" s="18" t="n">
        <x:f>ROUND(H86*J86,0)</x:f>
        <x:v>102480</x:v>
      </x:c>
      <x:c r="M89" s="18" t="n">
        <x:f>ROUND(F89*1850,0)</x:f>
        <x:v>8418</x:v>
      </x:c>
      <x:c r="N89" s="18" t="n">
        <x:f>SUM(K89:M89)</x:f>
        <x:v>163569</x:v>
      </x:c>
      <x:c r="O89" s="18" t="n">
        <x:f>ROUND(N89*3%,0)</x:f>
        <x:v>4907</x:v>
      </x:c>
      <x:c r="P89" s="18" t="n">
        <x:f>N89+O89</x:f>
        <x:v>168476</x:v>
      </x:c>
    </x:row>
    <x:row r="90" ht="24" customHeight="1">
      <x:c r="A90" s="15"/>
      <x:c r="B90" s="10" t="s">
        <x:v>45</x:v>
      </x:c>
      <x:c r="C90" s="3" t="s">
        <x:v>17</x:v>
      </x:c>
      <x:c r="D90" s="3" t="s">
        <x:v>18</x:v>
      </x:c>
      <x:c r="E90" s="10" t="s">
        <x:v>19</x:v>
      </x:c>
      <x:c r="F90" s="4">
        <x:v>3.8079999999999998</x:v>
      </x:c>
      <x:c r="G90" s="16" t="n">
        <x:v>250</x:v>
      </x:c>
      <x:c r="H90" s="16">
        <x:v>2.0299999999999998</x:v>
      </x:c>
      <x:c r="I90" s="17">
        <x:v>51</x:v>
      </x:c>
      <x:c r="J90" s="16" t="n">
        <x:v>42000</x:v>
      </x:c>
      <x:c r="K90" s="18" t="n">
        <x:f>ROUND(F90*G90,0)</x:f>
        <x:v>952</x:v>
      </x:c>
      <x:c r="L90" s="18" t="n">
        <x:f>ROUND(H90*J90,0)</x:f>
        <x:v>85260</x:v>
      </x:c>
      <x:c r="M90" s="18" t="n">
        <x:f>ROUND(F90*1850,0)</x:f>
        <x:v>7045</x:v>
      </x:c>
      <x:c r="N90" s="18" t="n">
        <x:f>SUM(K90:M90)</x:f>
        <x:v>93257</x:v>
      </x:c>
      <x:c r="O90" s="18" t="n">
        <x:f>ROUND(N90*3%,0)</x:f>
        <x:v>2798</x:v>
      </x:c>
      <x:c r="P90" s="18" t="n">
        <x:f>N90+O90</x:f>
        <x:v>96055</x:v>
      </x:c>
    </x:row>
    <x:row r="91" ht="24" customHeight="1">
      <x:c r="A91" s="11"/>
      <x:c r="B91" s="11"/>
      <x:c r="C91" s="3" t="s">
        <x:v>20</x:v>
      </x:c>
      <x:c r="D91" s="3" t="s">
        <x:v>21</x:v>
      </x:c>
      <x:c r="E91" s="11"/>
      <x:c r="F91" s="4">
        <x:v>4.2560000000000002</x:v>
      </x:c>
      <x:c r="G91" s="19" t="n">
        <x:v>5790</x:v>
      </x:c>
      <x:c r="H91" s="20"/>
      <x:c r="I91" s="20"/>
      <x:c r="J91" s="20"/>
      <x:c r="K91" s="18" t="n">
        <x:f>ROUND(F91*G91,0)</x:f>
        <x:v>24642</x:v>
      </x:c>
      <x:c r="L91" s="18" t="n">
        <x:f>ROUND(H90*J90,0)</x:f>
        <x:v>85260</x:v>
      </x:c>
      <x:c r="M91" s="18" t="n">
        <x:f>ROUND(F91*1850,0)</x:f>
        <x:v>7874</x:v>
      </x:c>
      <x:c r="N91" s="18" t="n">
        <x:f>SUM(K91:M91)</x:f>
        <x:v>117776</x:v>
      </x:c>
      <x:c r="O91" s="18" t="n">
        <x:f>ROUND(N91*3%,0)</x:f>
        <x:v>3533</x:v>
      </x:c>
      <x:c r="P91" s="18" t="n">
        <x:f>N91+O91</x:f>
        <x:v>121309</x:v>
      </x:c>
    </x:row>
    <x:row r="92" ht="24" customHeight="1">
      <x:c r="A92" s="11"/>
      <x:c r="B92" s="11"/>
      <x:c r="C92" s="3" t="s">
        <x:v>20</x:v>
      </x:c>
      <x:c r="D92" s="3" t="s">
        <x:v>22</x:v>
      </x:c>
      <x:c r="E92" s="11"/>
      <x:c r="F92" s="4">
        <x:v>4.76</x:v>
      </x:c>
      <x:c r="G92" s="19" t="n">
        <x:v>9003</x:v>
      </x:c>
      <x:c r="H92" s="20"/>
      <x:c r="I92" s="20"/>
      <x:c r="J92" s="20"/>
      <x:c r="K92" s="18" t="n">
        <x:f>ROUND(F92*G92,0)</x:f>
        <x:v>42854</x:v>
      </x:c>
      <x:c r="L92" s="18" t="n">
        <x:f>ROUND(H90*J90,0)</x:f>
        <x:v>85260</x:v>
      </x:c>
      <x:c r="M92" s="18" t="n">
        <x:f>ROUND(F92*1850,0)</x:f>
        <x:v>8806</x:v>
      </x:c>
      <x:c r="N92" s="18" t="n">
        <x:f>SUM(K92:M92)</x:f>
        <x:v>136920</x:v>
      </x:c>
      <x:c r="O92" s="18" t="n">
        <x:f>ROUND(N92*3%,0)</x:f>
        <x:v>4108</x:v>
      </x:c>
      <x:c r="P92" s="18" t="n">
        <x:f>N92+O92</x:f>
        <x:v>141028</x:v>
      </x:c>
    </x:row>
    <x:row r="93" ht="24" customHeight="1">
      <x:c r="A93" s="12"/>
      <x:c r="B93" s="12"/>
      <x:c r="C93" s="3" t="s">
        <x:v>20</x:v>
      </x:c>
      <x:c r="D93" s="3" t="s">
        <x:v>23</x:v>
      </x:c>
      <x:c r="E93" s="12"/>
      <x:c r="F93" s="4">
        <x:v>5.6</x:v>
      </x:c>
      <x:c r="G93" s="21" t="n">
        <x:v>11576</x:v>
      </x:c>
      <x:c r="H93" s="22"/>
      <x:c r="I93" s="22"/>
      <x:c r="J93" s="22"/>
      <x:c r="K93" s="18" t="n">
        <x:f>ROUND(F93*G93,0)</x:f>
        <x:v>64826</x:v>
      </x:c>
      <x:c r="L93" s="18" t="n">
        <x:f>ROUND(H90*J90,0)</x:f>
        <x:v>85260</x:v>
      </x:c>
      <x:c r="M93" s="18" t="n">
        <x:f>ROUND(F93*1850,0)</x:f>
        <x:v>10360</x:v>
      </x:c>
      <x:c r="N93" s="18" t="n">
        <x:f>SUM(K93:M93)</x:f>
        <x:v>160446</x:v>
      </x:c>
      <x:c r="O93" s="18" t="n">
        <x:f>ROUND(N93*3%,0)</x:f>
        <x:v>4813</x:v>
      </x:c>
      <x:c r="P93" s="18" t="n">
        <x:f>N93+O93</x:f>
        <x:v>165259</x:v>
      </x:c>
    </x:row>
    <x:row r="94" ht="24" customHeight="1">
      <x:c r="A94" s="15"/>
      <x:c r="B94" s="10" t="s">
        <x:v>46</x:v>
      </x:c>
      <x:c r="C94" s="3" t="s">
        <x:v>17</x:v>
      </x:c>
      <x:c r="D94" s="3" t="s">
        <x:v>18</x:v>
      </x:c>
      <x:c r="E94" s="10" t="s">
        <x:v>19</x:v>
      </x:c>
      <x:c r="F94" s="4">
        <x:v>2.992</x:v>
      </x:c>
      <x:c r="G94" s="16" t="n">
        <x:v>250</x:v>
      </x:c>
      <x:c r="H94" s="16">
        <x:v>1.4260999999999999</x:v>
      </x:c>
      <x:c r="I94" s="17">
        <x:v>99</x:v>
      </x:c>
      <x:c r="J94" s="16" t="n">
        <x:v>42000</x:v>
      </x:c>
      <x:c r="K94" s="18" t="n">
        <x:f>ROUND(F94*G94,0)</x:f>
        <x:v>748</x:v>
      </x:c>
      <x:c r="L94" s="18" t="n">
        <x:f>ROUND(H94*J94,0)</x:f>
        <x:v>59896</x:v>
      </x:c>
      <x:c r="M94" s="18" t="n">
        <x:f>ROUND(F94*1850,0)</x:f>
        <x:v>5535</x:v>
      </x:c>
      <x:c r="N94" s="18" t="n">
        <x:f>SUM(K94:M94)</x:f>
        <x:v>66179</x:v>
      </x:c>
      <x:c r="O94" s="18" t="n">
        <x:f>ROUND(N94*3%,0)</x:f>
        <x:v>1985</x:v>
      </x:c>
      <x:c r="P94" s="18" t="n">
        <x:f>N94+O94</x:f>
        <x:v>68164</x:v>
      </x:c>
    </x:row>
    <x:row r="95" ht="24" customHeight="1">
      <x:c r="A95" s="11"/>
      <x:c r="B95" s="11"/>
      <x:c r="C95" s="3" t="s">
        <x:v>20</x:v>
      </x:c>
      <x:c r="D95" s="3" t="s">
        <x:v>21</x:v>
      </x:c>
      <x:c r="E95" s="11"/>
      <x:c r="F95" s="4">
        <x:v>3.3439999999999999</x:v>
      </x:c>
      <x:c r="G95" s="19" t="n">
        <x:v>5790</x:v>
      </x:c>
      <x:c r="H95" s="20"/>
      <x:c r="I95" s="20"/>
      <x:c r="J95" s="20"/>
      <x:c r="K95" s="18" t="n">
        <x:f>ROUND(F95*G95,0)</x:f>
        <x:v>19362</x:v>
      </x:c>
      <x:c r="L95" s="18" t="n">
        <x:f>ROUND(H94*J94,0)</x:f>
        <x:v>59896</x:v>
      </x:c>
      <x:c r="M95" s="18" t="n">
        <x:f>ROUND(F95*1850,0)</x:f>
        <x:v>6186</x:v>
      </x:c>
      <x:c r="N95" s="18" t="n">
        <x:f>SUM(K95:M95)</x:f>
        <x:v>85444</x:v>
      </x:c>
      <x:c r="O95" s="18" t="n">
        <x:f>ROUND(N95*3%,0)</x:f>
        <x:v>2563</x:v>
      </x:c>
      <x:c r="P95" s="18" t="n">
        <x:f>N95+O95</x:f>
        <x:v>88007</x:v>
      </x:c>
    </x:row>
    <x:row r="96" ht="24" customHeight="1">
      <x:c r="A96" s="11"/>
      <x:c r="B96" s="11"/>
      <x:c r="C96" s="3" t="s">
        <x:v>20</x:v>
      </x:c>
      <x:c r="D96" s="3" t="s">
        <x:v>22</x:v>
      </x:c>
      <x:c r="E96" s="11"/>
      <x:c r="F96" s="4">
        <x:v>3.74</x:v>
      </x:c>
      <x:c r="G96" s="19" t="n">
        <x:v>9003</x:v>
      </x:c>
      <x:c r="H96" s="20"/>
      <x:c r="I96" s="20"/>
      <x:c r="J96" s="20"/>
      <x:c r="K96" s="18" t="n">
        <x:f>ROUND(F96*G96,0)</x:f>
        <x:v>33671</x:v>
      </x:c>
      <x:c r="L96" s="18" t="n">
        <x:f>ROUND(H94*J94,0)</x:f>
        <x:v>59896</x:v>
      </x:c>
      <x:c r="M96" s="18" t="n">
        <x:f>ROUND(F96*1850,0)</x:f>
        <x:v>6919</x:v>
      </x:c>
      <x:c r="N96" s="18" t="n">
        <x:f>SUM(K96:M96)</x:f>
        <x:v>100486</x:v>
      </x:c>
      <x:c r="O96" s="18" t="n">
        <x:f>ROUND(N96*3%,0)</x:f>
        <x:v>3015</x:v>
      </x:c>
      <x:c r="P96" s="18" t="n">
        <x:f>N96+O96</x:f>
        <x:v>103501</x:v>
      </x:c>
    </x:row>
    <x:row r="97" ht="24" customHeight="1">
      <x:c r="A97" s="12"/>
      <x:c r="B97" s="12"/>
      <x:c r="C97" s="3" t="s">
        <x:v>20</x:v>
      </x:c>
      <x:c r="D97" s="3" t="s">
        <x:v>23</x:v>
      </x:c>
      <x:c r="E97" s="12"/>
      <x:c r="F97" s="4">
        <x:v>4.4000000000000004</x:v>
      </x:c>
      <x:c r="G97" s="21" t="n">
        <x:v>11576</x:v>
      </x:c>
      <x:c r="H97" s="22"/>
      <x:c r="I97" s="22"/>
      <x:c r="J97" s="22"/>
      <x:c r="K97" s="18" t="n">
        <x:f>ROUND(F97*G97,0)</x:f>
        <x:v>50934</x:v>
      </x:c>
      <x:c r="L97" s="18" t="n">
        <x:f>ROUND(H94*J94,0)</x:f>
        <x:v>59896</x:v>
      </x:c>
      <x:c r="M97" s="18" t="n">
        <x:f>ROUND(F97*1850,0)</x:f>
        <x:v>8140</x:v>
      </x:c>
      <x:c r="N97" s="18" t="n">
        <x:f>SUM(K97:M97)</x:f>
        <x:v>118970</x:v>
      </x:c>
      <x:c r="O97" s="18" t="n">
        <x:f>ROUND(N97*3%,0)</x:f>
        <x:v>3569</x:v>
      </x:c>
      <x:c r="P97" s="18" t="n">
        <x:f>N97+O97</x:f>
        <x:v>122539</x:v>
      </x:c>
    </x:row>
    <x:row r="98" ht="24" customHeight="1">
      <x:c r="A98" s="15"/>
      <x:c r="B98" s="10" t="s">
        <x:v>47</x:v>
      </x:c>
      <x:c r="C98" s="3" t="s">
        <x:v>17</x:v>
      </x:c>
      <x:c r="D98" s="3" t="s">
        <x:v>18</x:v>
      </x:c>
      <x:c r="E98" s="10" t="s">
        <x:v>19</x:v>
      </x:c>
      <x:c r="F98" s="4">
        <x:v>2.72</x:v>
      </x:c>
      <x:c r="G98" s="16" t="n">
        <x:v>250</x:v>
      </x:c>
      <x:c r="H98" s="16">
        <x:v>0.79</x:v>
      </x:c>
      <x:c r="I98" s="17">
        <x:v>19</x:v>
      </x:c>
      <x:c r="J98" s="16" t="n">
        <x:v>42000</x:v>
      </x:c>
      <x:c r="K98" s="18" t="n">
        <x:f>ROUND(F98*G98,0)</x:f>
        <x:v>680</x:v>
      </x:c>
      <x:c r="L98" s="18" t="n">
        <x:f>ROUND(H98*J98,0)</x:f>
        <x:v>33180</x:v>
      </x:c>
      <x:c r="M98" s="18" t="n">
        <x:f>ROUND(F98*1850,0)</x:f>
        <x:v>5032</x:v>
      </x:c>
      <x:c r="N98" s="18" t="n">
        <x:f>SUM(K98:M98)</x:f>
        <x:v>38892</x:v>
      </x:c>
      <x:c r="O98" s="18" t="n">
        <x:f>ROUND(N98*3%,0)</x:f>
        <x:v>1167</x:v>
      </x:c>
      <x:c r="P98" s="18" t="n">
        <x:f>N98+O98</x:f>
        <x:v>40059</x:v>
      </x:c>
    </x:row>
    <x:row r="99" ht="24" customHeight="1">
      <x:c r="A99" s="11"/>
      <x:c r="B99" s="11"/>
      <x:c r="C99" s="3" t="s">
        <x:v>20</x:v>
      </x:c>
      <x:c r="D99" s="3" t="s">
        <x:v>21</x:v>
      </x:c>
      <x:c r="E99" s="11"/>
      <x:c r="F99" s="4">
        <x:v>3.04</x:v>
      </x:c>
      <x:c r="G99" s="19" t="n">
        <x:v>5790</x:v>
      </x:c>
      <x:c r="H99" s="20"/>
      <x:c r="I99" s="20"/>
      <x:c r="J99" s="20"/>
      <x:c r="K99" s="18" t="n">
        <x:f>ROUND(F99*G99,0)</x:f>
        <x:v>17602</x:v>
      </x:c>
      <x:c r="L99" s="18" t="n">
        <x:f>ROUND(H98*J98,0)</x:f>
        <x:v>33180</x:v>
      </x:c>
      <x:c r="M99" s="18" t="n">
        <x:f>ROUND(F99*1850,0)</x:f>
        <x:v>5624</x:v>
      </x:c>
      <x:c r="N99" s="18" t="n">
        <x:f>SUM(K99:M99)</x:f>
        <x:v>56406</x:v>
      </x:c>
      <x:c r="O99" s="18" t="n">
        <x:f>ROUND(N99*3%,0)</x:f>
        <x:v>1692</x:v>
      </x:c>
      <x:c r="P99" s="18" t="n">
        <x:f>N99+O99</x:f>
        <x:v>58098</x:v>
      </x:c>
    </x:row>
    <x:row r="100" ht="24" customHeight="1">
      <x:c r="A100" s="11"/>
      <x:c r="B100" s="11"/>
      <x:c r="C100" s="3" t="s">
        <x:v>20</x:v>
      </x:c>
      <x:c r="D100" s="3" t="s">
        <x:v>22</x:v>
      </x:c>
      <x:c r="E100" s="11"/>
      <x:c r="F100" s="4">
        <x:v>3.4</x:v>
      </x:c>
      <x:c r="G100" s="19" t="n">
        <x:v>9003</x:v>
      </x:c>
      <x:c r="H100" s="20"/>
      <x:c r="I100" s="20"/>
      <x:c r="J100" s="20"/>
      <x:c r="K100" s="18" t="n">
        <x:f>ROUND(F100*G100,0)</x:f>
        <x:v>30610</x:v>
      </x:c>
      <x:c r="L100" s="18" t="n">
        <x:f>ROUND(H98*J98,0)</x:f>
        <x:v>33180</x:v>
      </x:c>
      <x:c r="M100" s="18" t="n">
        <x:f>ROUND(F100*1850,0)</x:f>
        <x:v>6290</x:v>
      </x:c>
      <x:c r="N100" s="18" t="n">
        <x:f>SUM(K100:M100)</x:f>
        <x:v>70080</x:v>
      </x:c>
      <x:c r="O100" s="18" t="n">
        <x:f>ROUND(N100*3%,0)</x:f>
        <x:v>2102</x:v>
      </x:c>
      <x:c r="P100" s="18" t="n">
        <x:f>N100+O100</x:f>
        <x:v>72182</x:v>
      </x:c>
    </x:row>
    <x:row r="101" ht="24" customHeight="1">
      <x:c r="A101" s="12"/>
      <x:c r="B101" s="12"/>
      <x:c r="C101" s="3" t="s">
        <x:v>20</x:v>
      </x:c>
      <x:c r="D101" s="3" t="s">
        <x:v>23</x:v>
      </x:c>
      <x:c r="E101" s="12"/>
      <x:c r="F101" s="4">
        <x:v>4</x:v>
      </x:c>
      <x:c r="G101" s="21" t="n">
        <x:v>11576</x:v>
      </x:c>
      <x:c r="H101" s="22"/>
      <x:c r="I101" s="22"/>
      <x:c r="J101" s="22"/>
      <x:c r="K101" s="18" t="n">
        <x:f>ROUND(F101*G101,0)</x:f>
        <x:v>46304</x:v>
      </x:c>
      <x:c r="L101" s="18" t="n">
        <x:f>ROUND(H98*J98,0)</x:f>
        <x:v>33180</x:v>
      </x:c>
      <x:c r="M101" s="18" t="n">
        <x:f>ROUND(F101*1850,0)</x:f>
        <x:v>7400</x:v>
      </x:c>
      <x:c r="N101" s="18" t="n">
        <x:f>SUM(K101:M101)</x:f>
        <x:v>86884</x:v>
      </x:c>
      <x:c r="O101" s="18" t="n">
        <x:f>ROUND(N101*3%,0)</x:f>
        <x:v>2607</x:v>
      </x:c>
      <x:c r="P101" s="18" t="n">
        <x:f>N101+O101</x:f>
        <x:v>89491</x:v>
      </x:c>
    </x:row>
    <x:row r="102" ht="24" customHeight="1">
      <x:c r="A102" s="2"/>
      <x:c r="B102" s="3" t="s">
        <x:v>48</x:v>
      </x:c>
      <x:c r="C102" s="3" t="s">
        <x:v>17</x:v>
      </x:c>
      <x:c r="D102" s="3" t="s">
        <x:v>18</x:v>
      </x:c>
      <x:c r="E102" s="3" t="s">
        <x:v>19</x:v>
      </x:c>
      <x:c r="F102" s="4">
        <x:v>11.186</x:v>
      </x:c>
      <x:c r="G102" s="16" t="n">
        <x:v>250</x:v>
      </x:c>
      <x:c r="H102" s="16">
        <x:v>9.3000000000000007</x:v>
      </x:c>
      <x:c r="I102" s="17">
        <x:v>31</x:v>
      </x:c>
      <x:c r="J102" s="16" t="n">
        <x:v>42000</x:v>
      </x:c>
      <x:c r="K102" s="18" t="n">
        <x:f>ROUND(F102*G102,0)</x:f>
        <x:v>2797</x:v>
      </x:c>
      <x:c r="L102" s="18" t="n">
        <x:f>ROUND(H102*J102,0)</x:f>
        <x:v>390600</x:v>
      </x:c>
      <x:c r="M102" s="18" t="n">
        <x:f>ROUND(F102*1850,0)</x:f>
        <x:v>20694</x:v>
      </x:c>
      <x:c r="N102" s="18" t="n">
        <x:f>SUM(K102:M102)</x:f>
        <x:v>414091</x:v>
      </x:c>
      <x:c r="O102" s="18" t="n">
        <x:f>ROUND(N102*3%,0)</x:f>
        <x:v>12423</x:v>
      </x:c>
      <x:c r="P102" s="18" t="n">
        <x:f>N102+O102</x:f>
        <x:v>426514</x:v>
      </x:c>
    </x:row>
    <x:row r="103" ht="24" customHeight="1">
      <x:c r="A103" s="7"/>
      <x:c r="B103" s="7"/>
      <x:c r="C103" s="3" t="s">
        <x:v>20</x:v>
      </x:c>
      <x:c r="D103" s="3" t="s">
        <x:v>21</x:v>
      </x:c>
      <x:c r="E103" s="7"/>
      <x:c r="F103" s="4">
        <x:v>12.502000000000001</x:v>
      </x:c>
      <x:c r="G103" s="19" t="n">
        <x:v>5790</x:v>
      </x:c>
      <x:c r="H103" s="20"/>
      <x:c r="I103" s="20"/>
      <x:c r="J103" s="20"/>
      <x:c r="K103" s="18" t="n">
        <x:f>ROUND(F103*G103,0)</x:f>
        <x:v>72387</x:v>
      </x:c>
      <x:c r="L103" s="18" t="n">
        <x:f>ROUND(H102*J102,0)</x:f>
        <x:v>390600</x:v>
      </x:c>
      <x:c r="M103" s="18" t="n">
        <x:f>ROUND(F103*1850,0)</x:f>
        <x:v>23129</x:v>
      </x:c>
      <x:c r="N103" s="18" t="n">
        <x:f>SUM(K103:M103)</x:f>
        <x:v>486116</x:v>
      </x:c>
      <x:c r="O103" s="18" t="n">
        <x:f>ROUND(N103*3%,0)</x:f>
        <x:v>14583</x:v>
      </x:c>
      <x:c r="P103" s="18" t="n">
        <x:f>N103+O103</x:f>
        <x:v>500699</x:v>
      </x:c>
    </x:row>
    <x:row r="104" ht="24" customHeight="1">
      <x:c r="A104" s="7"/>
      <x:c r="B104" s="7"/>
      <x:c r="C104" s="3" t="s">
        <x:v>20</x:v>
      </x:c>
      <x:c r="D104" s="3" t="s">
        <x:v>22</x:v>
      </x:c>
      <x:c r="E104" s="7"/>
      <x:c r="F104" s="4">
        <x:v>13.9825</x:v>
      </x:c>
      <x:c r="G104" s="19" t="n">
        <x:v>9003</x:v>
      </x:c>
      <x:c r="H104" s="20"/>
      <x:c r="I104" s="20"/>
      <x:c r="J104" s="20"/>
      <x:c r="K104" s="18" t="n">
        <x:f>ROUND(F104*G104,0)</x:f>
        <x:v>125884</x:v>
      </x:c>
      <x:c r="L104" s="18" t="n">
        <x:f>ROUND(H102*J102,0)</x:f>
        <x:v>390600</x:v>
      </x:c>
      <x:c r="M104" s="18" t="n">
        <x:f>ROUND(F104*1850,0)</x:f>
        <x:v>25868</x:v>
      </x:c>
      <x:c r="N104" s="18" t="n">
        <x:f>SUM(K104:M104)</x:f>
        <x:v>542352</x:v>
      </x:c>
      <x:c r="O104" s="18" t="n">
        <x:f>ROUND(N104*3%,0)</x:f>
        <x:v>16271</x:v>
      </x:c>
      <x:c r="P104" s="18" t="n">
        <x:f>N104+O104</x:f>
        <x:v>558623</x:v>
      </x:c>
    </x:row>
    <x:row r="105" ht="24" customHeight="1">
      <x:c r="A105" s="9"/>
      <x:c r="B105" s="9"/>
      <x:c r="C105" s="3" t="s">
        <x:v>20</x:v>
      </x:c>
      <x:c r="D105" s="3" t="s">
        <x:v>23</x:v>
      </x:c>
      <x:c r="E105" s="9"/>
      <x:c r="F105" s="4">
        <x:v>16.45</x:v>
      </x:c>
      <x:c r="G105" s="21" t="n">
        <x:v>11576</x:v>
      </x:c>
      <x:c r="H105" s="22"/>
      <x:c r="I105" s="22"/>
      <x:c r="J105" s="22"/>
      <x:c r="K105" s="18" t="n">
        <x:f>ROUND(F105*G105,0)</x:f>
        <x:v>190425</x:v>
      </x:c>
      <x:c r="L105" s="18" t="n">
        <x:f>ROUND(H102*J102,0)</x:f>
        <x:v>390600</x:v>
      </x:c>
      <x:c r="M105" s="18" t="n">
        <x:f>ROUND(F105*1850,0)</x:f>
        <x:v>30433</x:v>
      </x:c>
      <x:c r="N105" s="18" t="n">
        <x:f>SUM(K105:M105)</x:f>
        <x:v>611458</x:v>
      </x:c>
      <x:c r="O105" s="18" t="n">
        <x:f>ROUND(N105*3%,0)</x:f>
        <x:v>18344</x:v>
      </x:c>
      <x:c r="P105" s="18" t="n">
        <x:f>N105+O105</x:f>
        <x:v>629802</x:v>
      </x:c>
    </x:row>
    <x:row r="106" ht="24" customHeight="1">
      <x:c r="A106" s="2"/>
      <x:c r="B106" s="3" t="s">
        <x:v>49</x:v>
      </x:c>
      <x:c r="C106" s="3" t="s">
        <x:v>17</x:v>
      </x:c>
      <x:c r="D106" s="3" t="s">
        <x:v>18</x:v>
      </x:c>
      <x:c r="E106" s="3" t="s">
        <x:v>19</x:v>
      </x:c>
      <x:c r="F106" s="4">
        <x:v>12.715999999999999</x:v>
      </x:c>
      <x:c r="G106" s="16" t="n">
        <x:v>250</x:v>
      </x:c>
      <x:c r="H106" s="16">
        <x:v>3.4649999999999999</x:v>
      </x:c>
      <x:c r="I106" s="17">
        <x:v>21</x:v>
      </x:c>
      <x:c r="J106" s="16" t="n">
        <x:v>42000</x:v>
      </x:c>
      <x:c r="K106" s="18" t="n">
        <x:f>ROUND(F106*G106,0)</x:f>
        <x:v>3179</x:v>
      </x:c>
      <x:c r="L106" s="18" t="n">
        <x:f>ROUND(H106*J106,0)</x:f>
        <x:v>145530</x:v>
      </x:c>
      <x:c r="M106" s="18" t="n">
        <x:f>ROUND(F106*1850,0)</x:f>
        <x:v>23525</x:v>
      </x:c>
      <x:c r="N106" s="18" t="n">
        <x:f>SUM(K106:M106)</x:f>
        <x:v>172234</x:v>
      </x:c>
      <x:c r="O106" s="18" t="n">
        <x:f>ROUND(N106*3%,0)</x:f>
        <x:v>5167</x:v>
      </x:c>
      <x:c r="P106" s="18" t="n">
        <x:f>N106+O106</x:f>
        <x:v>177401</x:v>
      </x:c>
    </x:row>
    <x:row r="107" ht="24" customHeight="1">
      <x:c r="A107" s="7"/>
      <x:c r="B107" s="7"/>
      <x:c r="C107" s="3" t="s">
        <x:v>20</x:v>
      </x:c>
      <x:c r="D107" s="3" t="s">
        <x:v>21</x:v>
      </x:c>
      <x:c r="E107" s="7"/>
      <x:c r="F107" s="4">
        <x:v>14.212</x:v>
      </x:c>
      <x:c r="G107" s="19" t="n">
        <x:v>5790</x:v>
      </x:c>
      <x:c r="H107" s="20"/>
      <x:c r="I107" s="20"/>
      <x:c r="J107" s="20"/>
      <x:c r="K107" s="18" t="n">
        <x:f>ROUND(F107*G107,0)</x:f>
        <x:v>82287</x:v>
      </x:c>
      <x:c r="L107" s="18" t="n">
        <x:f>ROUND(H106*J106,0)</x:f>
        <x:v>145530</x:v>
      </x:c>
      <x:c r="M107" s="18" t="n">
        <x:f>ROUND(F107*1850,0)</x:f>
        <x:v>26292</x:v>
      </x:c>
      <x:c r="N107" s="18" t="n">
        <x:f>SUM(K107:M107)</x:f>
        <x:v>254109</x:v>
      </x:c>
      <x:c r="O107" s="18" t="n">
        <x:f>ROUND(N107*3%,0)</x:f>
        <x:v>7623</x:v>
      </x:c>
      <x:c r="P107" s="18" t="n">
        <x:f>N107+O107</x:f>
        <x:v>261732</x:v>
      </x:c>
    </x:row>
    <x:row r="108" ht="24" customHeight="1">
      <x:c r="A108" s="7"/>
      <x:c r="B108" s="7"/>
      <x:c r="C108" s="3" t="s">
        <x:v>20</x:v>
      </x:c>
      <x:c r="D108" s="3" t="s">
        <x:v>22</x:v>
      </x:c>
      <x:c r="E108" s="7"/>
      <x:c r="F108" s="4">
        <x:v>15.895</x:v>
      </x:c>
      <x:c r="G108" s="19" t="n">
        <x:v>9003</x:v>
      </x:c>
      <x:c r="H108" s="20"/>
      <x:c r="I108" s="20"/>
      <x:c r="J108" s="20"/>
      <x:c r="K108" s="18" t="n">
        <x:f>ROUND(F108*G108,0)</x:f>
        <x:v>143103</x:v>
      </x:c>
      <x:c r="L108" s="18" t="n">
        <x:f>ROUND(H106*J106,0)</x:f>
        <x:v>145530</x:v>
      </x:c>
      <x:c r="M108" s="18" t="n">
        <x:f>ROUND(F108*1850,0)</x:f>
        <x:v>29406</x:v>
      </x:c>
      <x:c r="N108" s="18" t="n">
        <x:f>SUM(K108:M108)</x:f>
        <x:v>318039</x:v>
      </x:c>
      <x:c r="O108" s="18" t="n">
        <x:f>ROUND(N108*3%,0)</x:f>
        <x:v>9541</x:v>
      </x:c>
      <x:c r="P108" s="18" t="n">
        <x:f>N108+O108</x:f>
        <x:v>327580</x:v>
      </x:c>
    </x:row>
    <x:row r="109" ht="24" customHeight="1">
      <x:c r="A109" s="9"/>
      <x:c r="B109" s="9"/>
      <x:c r="C109" s="3" t="s">
        <x:v>20</x:v>
      </x:c>
      <x:c r="D109" s="3" t="s">
        <x:v>23</x:v>
      </x:c>
      <x:c r="E109" s="9"/>
      <x:c r="F109" s="4">
        <x:v>18.7</x:v>
      </x:c>
      <x:c r="G109" s="21" t="n">
        <x:v>11576</x:v>
      </x:c>
      <x:c r="H109" s="22"/>
      <x:c r="I109" s="22"/>
      <x:c r="J109" s="22"/>
      <x:c r="K109" s="18" t="n">
        <x:f>ROUND(F109*G109,0)</x:f>
        <x:v>216471</x:v>
      </x:c>
      <x:c r="L109" s="18" t="n">
        <x:f>ROUND(H106*J106,0)</x:f>
        <x:v>145530</x:v>
      </x:c>
      <x:c r="M109" s="18" t="n">
        <x:f>ROUND(F109*1850,0)</x:f>
        <x:v>34595</x:v>
      </x:c>
      <x:c r="N109" s="18" t="n">
        <x:f>SUM(K109:M109)</x:f>
        <x:v>396596</x:v>
      </x:c>
      <x:c r="O109" s="18" t="n">
        <x:f>ROUND(N109*3%,0)</x:f>
        <x:v>11898</x:v>
      </x:c>
      <x:c r="P109" s="18" t="n">
        <x:f>N109+O109</x:f>
        <x:v>408494</x:v>
      </x:c>
    </x:row>
    <x:row r="110" ht="24" customHeight="1">
      <x:c r="A110" s="2"/>
      <x:c r="B110" s="3" t="s">
        <x:v>50</x:v>
      </x:c>
      <x:c r="C110" s="3" t="s">
        <x:v>17</x:v>
      </x:c>
      <x:c r="D110" s="3" t="s">
        <x:v>18</x:v>
      </x:c>
      <x:c r="E110" s="3" t="s">
        <x:v>19</x:v>
      </x:c>
      <x:c r="F110" s="4">
        <x:v>11.288</x:v>
      </x:c>
      <x:c r="G110" s="16" t="n">
        <x:v>250</x:v>
      </x:c>
      <x:c r="H110" s="16">
        <x:v>7.04</x:v>
      </x:c>
      <x:c r="I110" s="17">
        <x:v>480</x:v>
      </x:c>
      <x:c r="J110" s="16" t="n">
        <x:v>42000</x:v>
      </x:c>
      <x:c r="K110" s="18" t="n">
        <x:f>ROUND(F110*G110,0)</x:f>
        <x:v>2822</x:v>
      </x:c>
      <x:c r="L110" s="18" t="n">
        <x:f>ROUND(H110*J110,0)</x:f>
        <x:v>295680</x:v>
      </x:c>
      <x:c r="M110" s="18" t="n">
        <x:f>ROUND(F110*1850,0)</x:f>
        <x:v>20883</x:v>
      </x:c>
      <x:c r="N110" s="18" t="n">
        <x:f>SUM(K110:M110)</x:f>
        <x:v>319385</x:v>
      </x:c>
      <x:c r="O110" s="18" t="n">
        <x:f>ROUND(N110*3%,0)</x:f>
        <x:v>9582</x:v>
      </x:c>
      <x:c r="P110" s="18" t="n">
        <x:f>N110+O110</x:f>
        <x:v>328967</x:v>
      </x:c>
    </x:row>
    <x:row r="111" ht="24" customHeight="1">
      <x:c r="A111" s="7"/>
      <x:c r="B111" s="7"/>
      <x:c r="C111" s="3" t="s">
        <x:v>20</x:v>
      </x:c>
      <x:c r="D111" s="3" t="s">
        <x:v>21</x:v>
      </x:c>
      <x:c r="E111" s="7"/>
      <x:c r="F111" s="4">
        <x:v>12.616</x:v>
      </x:c>
      <x:c r="G111" s="19" t="n">
        <x:v>5790</x:v>
      </x:c>
      <x:c r="H111" s="20"/>
      <x:c r="I111" s="20"/>
      <x:c r="J111" s="20"/>
      <x:c r="K111" s="18" t="n">
        <x:f>ROUND(F111*G111,0)</x:f>
        <x:v>73047</x:v>
      </x:c>
      <x:c r="L111" s="18" t="n">
        <x:f>ROUND(H110*J110,0)</x:f>
        <x:v>295680</x:v>
      </x:c>
      <x:c r="M111" s="18" t="n">
        <x:f>ROUND(F111*1850,0)</x:f>
        <x:v>23340</x:v>
      </x:c>
      <x:c r="N111" s="18" t="n">
        <x:f>SUM(K111:M111)</x:f>
        <x:v>392067</x:v>
      </x:c>
      <x:c r="O111" s="18" t="n">
        <x:f>ROUND(N111*3%,0)</x:f>
        <x:v>11762</x:v>
      </x:c>
      <x:c r="P111" s="18" t="n">
        <x:f>N111+O111</x:f>
        <x:v>403829</x:v>
      </x:c>
    </x:row>
    <x:row r="112" ht="24" customHeight="1">
      <x:c r="A112" s="7"/>
      <x:c r="B112" s="7"/>
      <x:c r="C112" s="3" t="s">
        <x:v>20</x:v>
      </x:c>
      <x:c r="D112" s="3" t="s">
        <x:v>22</x:v>
      </x:c>
      <x:c r="E112" s="7"/>
      <x:c r="F112" s="4">
        <x:v>14.11</x:v>
      </x:c>
      <x:c r="G112" s="19" t="n">
        <x:v>9003</x:v>
      </x:c>
      <x:c r="H112" s="20"/>
      <x:c r="I112" s="20"/>
      <x:c r="J112" s="20"/>
      <x:c r="K112" s="18" t="n">
        <x:f>ROUND(F112*G112,0)</x:f>
        <x:v>127032</x:v>
      </x:c>
      <x:c r="L112" s="18" t="n">
        <x:f>ROUND(H110*J110,0)</x:f>
        <x:v>295680</x:v>
      </x:c>
      <x:c r="M112" s="18" t="n">
        <x:f>ROUND(F112*1850,0)</x:f>
        <x:v>26104</x:v>
      </x:c>
      <x:c r="N112" s="18" t="n">
        <x:f>SUM(K112:M112)</x:f>
        <x:v>448816</x:v>
      </x:c>
      <x:c r="O112" s="18" t="n">
        <x:f>ROUND(N112*3%,0)</x:f>
        <x:v>13464</x:v>
      </x:c>
      <x:c r="P112" s="18" t="n">
        <x:f>N112+O112</x:f>
        <x:v>462280</x:v>
      </x:c>
    </x:row>
    <x:row r="113" ht="24" customHeight="1">
      <x:c r="A113" s="9"/>
      <x:c r="B113" s="9"/>
      <x:c r="C113" s="3" t="s">
        <x:v>20</x:v>
      </x:c>
      <x:c r="D113" s="3" t="s">
        <x:v>23</x:v>
      </x:c>
      <x:c r="E113" s="9"/>
      <x:c r="F113" s="4">
        <x:v>16.600000000000001</x:v>
      </x:c>
      <x:c r="G113" s="21" t="n">
        <x:v>11576</x:v>
      </x:c>
      <x:c r="H113" s="22"/>
      <x:c r="I113" s="22"/>
      <x:c r="J113" s="22"/>
      <x:c r="K113" s="18" t="n">
        <x:f>ROUND(F113*G113,0)</x:f>
        <x:v>192162</x:v>
      </x:c>
      <x:c r="L113" s="18" t="n">
        <x:f>ROUND(H110*J110,0)</x:f>
        <x:v>295680</x:v>
      </x:c>
      <x:c r="M113" s="18" t="n">
        <x:f>ROUND(F113*1850,0)</x:f>
        <x:v>30710</x:v>
      </x:c>
      <x:c r="N113" s="18" t="n">
        <x:f>SUM(K113:M113)</x:f>
        <x:v>518552</x:v>
      </x:c>
      <x:c r="O113" s="18" t="n">
        <x:f>ROUND(N113*3%,0)</x:f>
        <x:v>15557</x:v>
      </x:c>
      <x:c r="P113" s="18" t="n">
        <x:f>N113+O113</x:f>
        <x:v>534109</x:v>
      </x:c>
    </x:row>
    <x:row r="114" ht="24" customHeight="1">
      <x:c r="A114" s="2"/>
      <x:c r="B114" s="3" t="s">
        <x:v>51</x:v>
      </x:c>
      <x:c r="C114" s="3" t="s">
        <x:v>17</x:v>
      </x:c>
      <x:c r="D114" s="3" t="s">
        <x:v>18</x:v>
      </x:c>
      <x:c r="E114" s="3" t="s">
        <x:v>19</x:v>
      </x:c>
      <x:c r="F114" s="4">
        <x:v>12.002000000000001</x:v>
      </x:c>
      <x:c r="G114" s="16" t="n">
        <x:v>250</x:v>
      </x:c>
      <x:c r="H114" s="16">
        <x:v>13.198</x:v>
      </x:c>
      <x:c r="I114" s="17">
        <x:v>35</x:v>
      </x:c>
      <x:c r="J114" s="16" t="n">
        <x:v>42000</x:v>
      </x:c>
      <x:c r="K114" s="18" t="n">
        <x:f>ROUND(F114*G114,0)</x:f>
        <x:v>3001</x:v>
      </x:c>
      <x:c r="L114" s="18" t="n">
        <x:f>ROUND(H114*J114,0)</x:f>
        <x:v>554316</x:v>
      </x:c>
      <x:c r="M114" s="18" t="n">
        <x:f>ROUND(F114*1850,0)</x:f>
        <x:v>22204</x:v>
      </x:c>
      <x:c r="N114" s="18" t="n">
        <x:f>SUM(K114:M114)</x:f>
        <x:v>579521</x:v>
      </x:c>
      <x:c r="O114" s="18" t="n">
        <x:f>ROUND(N114*3%,0)</x:f>
        <x:v>17386</x:v>
      </x:c>
      <x:c r="P114" s="18" t="n">
        <x:f>N114+O114</x:f>
        <x:v>596907</x:v>
      </x:c>
    </x:row>
    <x:row r="115" ht="24" customHeight="1">
      <x:c r="A115" s="7"/>
      <x:c r="B115" s="7"/>
      <x:c r="C115" s="3" t="s">
        <x:v>20</x:v>
      </x:c>
      <x:c r="D115" s="3" t="s">
        <x:v>21</x:v>
      </x:c>
      <x:c r="E115" s="7"/>
      <x:c r="F115" s="4">
        <x:v>13.414</x:v>
      </x:c>
      <x:c r="G115" s="19" t="n">
        <x:v>5790</x:v>
      </x:c>
      <x:c r="H115" s="20"/>
      <x:c r="I115" s="20"/>
      <x:c r="J115" s="20"/>
      <x:c r="K115" s="18" t="n">
        <x:f>ROUND(F115*G115,0)</x:f>
        <x:v>77667</x:v>
      </x:c>
      <x:c r="L115" s="18" t="n">
        <x:f>ROUND(H114*J114,0)</x:f>
        <x:v>554316</x:v>
      </x:c>
      <x:c r="M115" s="18" t="n">
        <x:f>ROUND(F115*1850,0)</x:f>
        <x:v>24816</x:v>
      </x:c>
      <x:c r="N115" s="18" t="n">
        <x:f>SUM(K115:M115)</x:f>
        <x:v>656799</x:v>
      </x:c>
      <x:c r="O115" s="18" t="n">
        <x:f>ROUND(N115*3%,0)</x:f>
        <x:v>19704</x:v>
      </x:c>
      <x:c r="P115" s="18" t="n">
        <x:f>N115+O115</x:f>
        <x:v>676503</x:v>
      </x:c>
    </x:row>
    <x:row r="116" ht="24" customHeight="1">
      <x:c r="A116" s="7"/>
      <x:c r="B116" s="7"/>
      <x:c r="C116" s="3" t="s">
        <x:v>20</x:v>
      </x:c>
      <x:c r="D116" s="3" t="s">
        <x:v>22</x:v>
      </x:c>
      <x:c r="E116" s="7"/>
      <x:c r="F116" s="4">
        <x:v>15.0025</x:v>
      </x:c>
      <x:c r="G116" s="19" t="n">
        <x:v>9003</x:v>
      </x:c>
      <x:c r="H116" s="20"/>
      <x:c r="I116" s="20"/>
      <x:c r="J116" s="20"/>
      <x:c r="K116" s="18" t="n">
        <x:f>ROUND(F116*G116,0)</x:f>
        <x:v>135068</x:v>
      </x:c>
      <x:c r="L116" s="18" t="n">
        <x:f>ROUND(H114*J114,0)</x:f>
        <x:v>554316</x:v>
      </x:c>
      <x:c r="M116" s="18" t="n">
        <x:f>ROUND(F116*1850,0)</x:f>
        <x:v>27755</x:v>
      </x:c>
      <x:c r="N116" s="18" t="n">
        <x:f>SUM(K116:M116)</x:f>
        <x:v>717139</x:v>
      </x:c>
      <x:c r="O116" s="18" t="n">
        <x:f>ROUND(N116*3%,0)</x:f>
        <x:v>21514</x:v>
      </x:c>
      <x:c r="P116" s="18" t="n">
        <x:f>N116+O116</x:f>
        <x:v>738653</x:v>
      </x:c>
    </x:row>
    <x:row r="117" ht="24" customHeight="1">
      <x:c r="A117" s="9"/>
      <x:c r="B117" s="9"/>
      <x:c r="C117" s="3" t="s">
        <x:v>20</x:v>
      </x:c>
      <x:c r="D117" s="3" t="s">
        <x:v>23</x:v>
      </x:c>
      <x:c r="E117" s="9"/>
      <x:c r="F117" s="4">
        <x:v>17.649999999999999</x:v>
      </x:c>
      <x:c r="G117" s="21" t="n">
        <x:v>11576</x:v>
      </x:c>
      <x:c r="H117" s="22"/>
      <x:c r="I117" s="22"/>
      <x:c r="J117" s="22"/>
      <x:c r="K117" s="18" t="n">
        <x:f>ROUND(F117*G117,0)</x:f>
        <x:v>204316</x:v>
      </x:c>
      <x:c r="L117" s="18" t="n">
        <x:f>ROUND(H114*J114,0)</x:f>
        <x:v>554316</x:v>
      </x:c>
      <x:c r="M117" s="18" t="n">
        <x:f>ROUND(F117*1850,0)</x:f>
        <x:v>32652</x:v>
      </x:c>
      <x:c r="N117" s="18" t="n">
        <x:f>SUM(K117:M117)</x:f>
        <x:v>791284</x:v>
      </x:c>
      <x:c r="O117" s="18" t="n">
        <x:f>ROUND(N117*3%,0)</x:f>
        <x:v>23739</x:v>
      </x:c>
      <x:c r="P117" s="18" t="n">
        <x:f>N117+O117</x:f>
        <x:v>815023</x:v>
      </x:c>
    </x:row>
    <x:row r="118" ht="24" customHeight="1">
      <x:c r="A118" s="2"/>
      <x:c r="B118" s="3" t="s">
        <x:v>52</x:v>
      </x:c>
      <x:c r="C118" s="3" t="s">
        <x:v>17</x:v>
      </x:c>
      <x:c r="D118" s="3" t="s">
        <x:v>18</x:v>
      </x:c>
      <x:c r="E118" s="3" t="s">
        <x:v>19</x:v>
      </x:c>
      <x:c r="F118" s="4">
        <x:v>10.132</x:v>
      </x:c>
      <x:c r="G118" s="16" t="n">
        <x:v>250</x:v>
      </x:c>
      <x:c r="H118" s="16">
        <x:v>6.82</x:v>
      </x:c>
      <x:c r="I118" s="17">
        <x:v>28</x:v>
      </x:c>
      <x:c r="J118" s="16" t="n">
        <x:v>42000</x:v>
      </x:c>
      <x:c r="K118" s="18" t="n">
        <x:f>ROUND(F118*G118,0)</x:f>
        <x:v>2533</x:v>
      </x:c>
      <x:c r="L118" s="18" t="n">
        <x:f>ROUND(H118*J118,0)</x:f>
        <x:v>286440</x:v>
      </x:c>
      <x:c r="M118" s="18" t="n">
        <x:f>ROUND(F118*1850,0)</x:f>
        <x:v>18744</x:v>
      </x:c>
      <x:c r="N118" s="18" t="n">
        <x:f>SUM(K118:M118)</x:f>
        <x:v>307717</x:v>
      </x:c>
      <x:c r="O118" s="18" t="n">
        <x:f>ROUND(N118*3%,0)</x:f>
        <x:v>9232</x:v>
      </x:c>
      <x:c r="P118" s="18" t="n">
        <x:f>N118+O118</x:f>
        <x:v>316949</x:v>
      </x:c>
    </x:row>
    <x:row r="119" ht="24" customHeight="1">
      <x:c r="A119" s="7"/>
      <x:c r="B119" s="7"/>
      <x:c r="C119" s="3" t="s">
        <x:v>20</x:v>
      </x:c>
      <x:c r="D119" s="3" t="s">
        <x:v>21</x:v>
      </x:c>
      <x:c r="E119" s="7"/>
      <x:c r="F119" s="4">
        <x:v>11.324</x:v>
      </x:c>
      <x:c r="G119" s="19" t="n">
        <x:v>5790</x:v>
      </x:c>
      <x:c r="H119" s="20"/>
      <x:c r="I119" s="20"/>
      <x:c r="J119" s="20"/>
      <x:c r="K119" s="18" t="n">
        <x:f>ROUND(F119*G119,0)</x:f>
        <x:v>65566</x:v>
      </x:c>
      <x:c r="L119" s="18" t="n">
        <x:f>ROUND(H118*J118,0)</x:f>
        <x:v>286440</x:v>
      </x:c>
      <x:c r="M119" s="18" t="n">
        <x:f>ROUND(F119*1850,0)</x:f>
        <x:v>20949</x:v>
      </x:c>
      <x:c r="N119" s="18" t="n">
        <x:f>SUM(K119:M119)</x:f>
        <x:v>372955</x:v>
      </x:c>
      <x:c r="O119" s="18" t="n">
        <x:f>ROUND(N119*3%,0)</x:f>
        <x:v>11189</x:v>
      </x:c>
      <x:c r="P119" s="18" t="n">
        <x:f>N119+O119</x:f>
        <x:v>384144</x:v>
      </x:c>
    </x:row>
    <x:row r="120" ht="24" customHeight="1">
      <x:c r="A120" s="7"/>
      <x:c r="B120" s="7"/>
      <x:c r="C120" s="3" t="s">
        <x:v>20</x:v>
      </x:c>
      <x:c r="D120" s="3" t="s">
        <x:v>22</x:v>
      </x:c>
      <x:c r="E120" s="7"/>
      <x:c r="F120" s="4">
        <x:v>12.664999999999999</x:v>
      </x:c>
      <x:c r="G120" s="19" t="n">
        <x:v>9003</x:v>
      </x:c>
      <x:c r="H120" s="20"/>
      <x:c r="I120" s="20"/>
      <x:c r="J120" s="20"/>
      <x:c r="K120" s="18" t="n">
        <x:f>ROUND(F120*G120,0)</x:f>
        <x:v>114023</x:v>
      </x:c>
      <x:c r="L120" s="18" t="n">
        <x:f>ROUND(H118*J118,0)</x:f>
        <x:v>286440</x:v>
      </x:c>
      <x:c r="M120" s="18" t="n">
        <x:f>ROUND(F120*1850,0)</x:f>
        <x:v>23430</x:v>
      </x:c>
      <x:c r="N120" s="18" t="n">
        <x:f>SUM(K120:M120)</x:f>
        <x:v>423893</x:v>
      </x:c>
      <x:c r="O120" s="18" t="n">
        <x:f>ROUND(N120*3%,0)</x:f>
        <x:v>12717</x:v>
      </x:c>
      <x:c r="P120" s="18" t="n">
        <x:f>N120+O120</x:f>
        <x:v>436610</x:v>
      </x:c>
    </x:row>
    <x:row r="121" ht="24" customHeight="1">
      <x:c r="A121" s="9"/>
      <x:c r="B121" s="9"/>
      <x:c r="C121" s="3" t="s">
        <x:v>20</x:v>
      </x:c>
      <x:c r="D121" s="3" t="s">
        <x:v>23</x:v>
      </x:c>
      <x:c r="E121" s="9"/>
      <x:c r="F121" s="4">
        <x:v>14.9</x:v>
      </x:c>
      <x:c r="G121" s="21" t="n">
        <x:v>11576</x:v>
      </x:c>
      <x:c r="H121" s="22"/>
      <x:c r="I121" s="22"/>
      <x:c r="J121" s="22"/>
      <x:c r="K121" s="18" t="n">
        <x:f>ROUND(F121*G121,0)</x:f>
        <x:v>172482</x:v>
      </x:c>
      <x:c r="L121" s="18" t="n">
        <x:f>ROUND(H118*J118,0)</x:f>
        <x:v>286440</x:v>
      </x:c>
      <x:c r="M121" s="18" t="n">
        <x:f>ROUND(F121*1850,0)</x:f>
        <x:v>27565</x:v>
      </x:c>
      <x:c r="N121" s="18" t="n">
        <x:f>SUM(K121:M121)</x:f>
        <x:v>486487</x:v>
      </x:c>
      <x:c r="O121" s="18" t="n">
        <x:f>ROUND(N121*3%,0)</x:f>
        <x:v>14595</x:v>
      </x:c>
      <x:c r="P121" s="18" t="n">
        <x:f>N121+O121</x:f>
        <x:v>501082</x:v>
      </x:c>
    </x:row>
    <x:row r="122" ht="24" customHeight="1">
      <x:c r="A122" s="2"/>
      <x:c r="B122" s="3" t="s">
        <x:v>53</x:v>
      </x:c>
      <x:c r="C122" s="3" t="s">
        <x:v>17</x:v>
      </x:c>
      <x:c r="D122" s="3" t="s">
        <x:v>18</x:v>
      </x:c>
      <x:c r="E122" s="3" t="s">
        <x:v>19</x:v>
      </x:c>
      <x:c r="F122" s="4">
        <x:v>10.71</x:v>
      </x:c>
      <x:c r="G122" s="16" t="n">
        <x:v>250</x:v>
      </x:c>
      <x:c r="H122" s="16">
        <x:v>13.44</x:v>
      </x:c>
      <x:c r="I122" s="17">
        <x:v>11</x:v>
      </x:c>
      <x:c r="J122" s="16" t="n">
        <x:v>42000</x:v>
      </x:c>
      <x:c r="K122" s="18" t="n">
        <x:f>ROUND(F122*G122,0)</x:f>
        <x:v>2678</x:v>
      </x:c>
      <x:c r="L122" s="18" t="n">
        <x:f>ROUND(H122*J122,0)</x:f>
        <x:v>564480</x:v>
      </x:c>
      <x:c r="M122" s="18" t="n">
        <x:f>ROUND(F122*1850,0)</x:f>
        <x:v>19814</x:v>
      </x:c>
      <x:c r="N122" s="18" t="n">
        <x:f>SUM(K122:M122)</x:f>
        <x:v>586972</x:v>
      </x:c>
      <x:c r="O122" s="18" t="n">
        <x:f>ROUND(N122*3%,0)</x:f>
        <x:v>17609</x:v>
      </x:c>
      <x:c r="P122" s="18" t="n">
        <x:f>N122+O122</x:f>
        <x:v>604581</x:v>
      </x:c>
    </x:row>
    <x:row r="123" ht="24" customHeight="1">
      <x:c r="A123" s="7"/>
      <x:c r="B123" s="7"/>
      <x:c r="C123" s="3" t="s">
        <x:v>20</x:v>
      </x:c>
      <x:c r="D123" s="3" t="s">
        <x:v>21</x:v>
      </x:c>
      <x:c r="E123" s="7"/>
      <x:c r="F123" s="4">
        <x:v>11.97</x:v>
      </x:c>
      <x:c r="G123" s="19" t="n">
        <x:v>5790</x:v>
      </x:c>
      <x:c r="H123" s="20"/>
      <x:c r="I123" s="20"/>
      <x:c r="J123" s="20"/>
      <x:c r="K123" s="18" t="n">
        <x:f>ROUND(F123*G123,0)</x:f>
        <x:v>69306</x:v>
      </x:c>
      <x:c r="L123" s="18" t="n">
        <x:f>ROUND(H122*J122,0)</x:f>
        <x:v>564480</x:v>
      </x:c>
      <x:c r="M123" s="18" t="n">
        <x:f>ROUND(F123*1850,0)</x:f>
        <x:v>22145</x:v>
      </x:c>
      <x:c r="N123" s="18" t="n">
        <x:f>SUM(K123:M123)</x:f>
        <x:v>655931</x:v>
      </x:c>
      <x:c r="O123" s="18" t="n">
        <x:f>ROUND(N123*3%,0)</x:f>
        <x:v>19678</x:v>
      </x:c>
      <x:c r="P123" s="18" t="n">
        <x:f>N123+O123</x:f>
        <x:v>675609</x:v>
      </x:c>
    </x:row>
    <x:row r="124" ht="24" customHeight="1">
      <x:c r="A124" s="7"/>
      <x:c r="B124" s="7"/>
      <x:c r="C124" s="3" t="s">
        <x:v>20</x:v>
      </x:c>
      <x:c r="D124" s="3" t="s">
        <x:v>22</x:v>
      </x:c>
      <x:c r="E124" s="7"/>
      <x:c r="F124" s="4">
        <x:v>13.387499999999999</x:v>
      </x:c>
      <x:c r="G124" s="19" t="n">
        <x:v>9003</x:v>
      </x:c>
      <x:c r="H124" s="20"/>
      <x:c r="I124" s="20"/>
      <x:c r="J124" s="20"/>
      <x:c r="K124" s="18" t="n">
        <x:f>ROUND(F124*G124,0)</x:f>
        <x:v>120528</x:v>
      </x:c>
      <x:c r="L124" s="18" t="n">
        <x:f>ROUND(H122*J122,0)</x:f>
        <x:v>564480</x:v>
      </x:c>
      <x:c r="M124" s="18" t="n">
        <x:f>ROUND(F124*1850,0)</x:f>
        <x:v>24767</x:v>
      </x:c>
      <x:c r="N124" s="18" t="n">
        <x:f>SUM(K124:M124)</x:f>
        <x:v>709775</x:v>
      </x:c>
      <x:c r="O124" s="18" t="n">
        <x:f>ROUND(N124*3%,0)</x:f>
        <x:v>21293</x:v>
      </x:c>
      <x:c r="P124" s="18" t="n">
        <x:f>N124+O124</x:f>
        <x:v>731068</x:v>
      </x:c>
    </x:row>
    <x:row r="125" ht="24" customHeight="1">
      <x:c r="A125" s="9"/>
      <x:c r="B125" s="9"/>
      <x:c r="C125" s="3" t="s">
        <x:v>20</x:v>
      </x:c>
      <x:c r="D125" s="3" t="s">
        <x:v>23</x:v>
      </x:c>
      <x:c r="E125" s="9"/>
      <x:c r="F125" s="4">
        <x:v>15.75</x:v>
      </x:c>
      <x:c r="G125" s="21" t="n">
        <x:v>11576</x:v>
      </x:c>
      <x:c r="H125" s="22"/>
      <x:c r="I125" s="22"/>
      <x:c r="J125" s="22"/>
      <x:c r="K125" s="18" t="n">
        <x:f>ROUND(F125*G125,0)</x:f>
        <x:v>182322</x:v>
      </x:c>
      <x:c r="L125" s="18" t="n">
        <x:f>ROUND(H122*J122,0)</x:f>
        <x:v>564480</x:v>
      </x:c>
      <x:c r="M125" s="18" t="n">
        <x:f>ROUND(F125*1850,0)</x:f>
        <x:v>29138</x:v>
      </x:c>
      <x:c r="N125" s="18" t="n">
        <x:f>SUM(K125:M125)</x:f>
        <x:v>775940</x:v>
      </x:c>
      <x:c r="O125" s="18" t="n">
        <x:f>ROUND(N125*3%,0)</x:f>
        <x:v>23278</x:v>
      </x:c>
      <x:c r="P125" s="18" t="n">
        <x:f>N125+O125</x:f>
        <x:v>799218</x:v>
      </x:c>
    </x:row>
    <x:row r="126" ht="24" customHeight="1">
      <x:c r="A126" s="2"/>
      <x:c r="B126" s="3" t="s">
        <x:v>54</x:v>
      </x:c>
      <x:c r="C126" s="3" t="s">
        <x:v>17</x:v>
      </x:c>
      <x:c r="D126" s="3" t="s">
        <x:v>18</x:v>
      </x:c>
      <x:c r="E126" s="3" t="s">
        <x:v>19</x:v>
      </x:c>
      <x:c r="F126" s="4">
        <x:v>11.458</x:v>
      </x:c>
      <x:c r="G126" s="16" t="n">
        <x:v>250</x:v>
      </x:c>
      <x:c r="H126" s="16">
        <x:v>12.04</x:v>
      </x:c>
      <x:c r="I126" s="17">
        <x:v>131</x:v>
      </x:c>
      <x:c r="J126" s="16" t="n">
        <x:v>42000</x:v>
      </x:c>
      <x:c r="K126" s="18" t="n">
        <x:f>ROUND(F126*G126,0)</x:f>
        <x:v>2865</x:v>
      </x:c>
      <x:c r="L126" s="18" t="n">
        <x:f>ROUND(H126*J126,0)</x:f>
        <x:v>505680</x:v>
      </x:c>
      <x:c r="M126" s="18" t="n">
        <x:f>ROUND(F126*1850,0)</x:f>
        <x:v>21197</x:v>
      </x:c>
      <x:c r="N126" s="18" t="n">
        <x:f>SUM(K126:M126)</x:f>
        <x:v>529742</x:v>
      </x:c>
      <x:c r="O126" s="18" t="n">
        <x:f>ROUND(N126*3%,0)</x:f>
        <x:v>15892</x:v>
      </x:c>
      <x:c r="P126" s="18" t="n">
        <x:f>N126+O126</x:f>
        <x:v>545634</x:v>
      </x:c>
    </x:row>
    <x:row r="127" ht="24" customHeight="1">
      <x:c r="A127" s="7"/>
      <x:c r="B127" s="7"/>
      <x:c r="C127" s="3" t="s">
        <x:v>20</x:v>
      </x:c>
      <x:c r="D127" s="3" t="s">
        <x:v>21</x:v>
      </x:c>
      <x:c r="E127" s="7"/>
      <x:c r="F127" s="4">
        <x:v>12.805999999999999</x:v>
      </x:c>
      <x:c r="G127" s="19" t="n">
        <x:v>5790</x:v>
      </x:c>
      <x:c r="H127" s="20"/>
      <x:c r="I127" s="20"/>
      <x:c r="J127" s="20"/>
      <x:c r="K127" s="18" t="n">
        <x:f>ROUND(F127*G127,0)</x:f>
        <x:v>74147</x:v>
      </x:c>
      <x:c r="L127" s="18" t="n">
        <x:f>ROUND(H126*J126,0)</x:f>
        <x:v>505680</x:v>
      </x:c>
      <x:c r="M127" s="18" t="n">
        <x:f>ROUND(F127*1850,0)</x:f>
        <x:v>23691</x:v>
      </x:c>
      <x:c r="N127" s="18" t="n">
        <x:f>SUM(K127:M127)</x:f>
        <x:v>603518</x:v>
      </x:c>
      <x:c r="O127" s="18" t="n">
        <x:f>ROUND(N127*3%,0)</x:f>
        <x:v>18106</x:v>
      </x:c>
      <x:c r="P127" s="18" t="n">
        <x:f>N127+O127</x:f>
        <x:v>621624</x:v>
      </x:c>
    </x:row>
    <x:row r="128" ht="24" customHeight="1">
      <x:c r="A128" s="7"/>
      <x:c r="B128" s="7"/>
      <x:c r="C128" s="3" t="s">
        <x:v>20</x:v>
      </x:c>
      <x:c r="D128" s="3" t="s">
        <x:v>22</x:v>
      </x:c>
      <x:c r="E128" s="7"/>
      <x:c r="F128" s="4">
        <x:v>14.3225</x:v>
      </x:c>
      <x:c r="G128" s="19" t="n">
        <x:v>9003</x:v>
      </x:c>
      <x:c r="H128" s="20"/>
      <x:c r="I128" s="20"/>
      <x:c r="J128" s="20"/>
      <x:c r="K128" s="18" t="n">
        <x:f>ROUND(F128*G128,0)</x:f>
        <x:v>128945</x:v>
      </x:c>
      <x:c r="L128" s="18" t="n">
        <x:f>ROUND(H126*J126,0)</x:f>
        <x:v>505680</x:v>
      </x:c>
      <x:c r="M128" s="18" t="n">
        <x:f>ROUND(F128*1850,0)</x:f>
        <x:v>26497</x:v>
      </x:c>
      <x:c r="N128" s="18" t="n">
        <x:f>SUM(K128:M128)</x:f>
        <x:v>661122</x:v>
      </x:c>
      <x:c r="O128" s="18" t="n">
        <x:f>ROUND(N128*3%,0)</x:f>
        <x:v>19834</x:v>
      </x:c>
      <x:c r="P128" s="18" t="n">
        <x:f>N128+O128</x:f>
        <x:v>680956</x:v>
      </x:c>
    </x:row>
    <x:row r="129" ht="24" customHeight="1">
      <x:c r="A129" s="9"/>
      <x:c r="B129" s="9"/>
      <x:c r="C129" s="3" t="s">
        <x:v>20</x:v>
      </x:c>
      <x:c r="D129" s="3" t="s">
        <x:v>23</x:v>
      </x:c>
      <x:c r="E129" s="9"/>
      <x:c r="F129" s="4">
        <x:v>16.850000000000001</x:v>
      </x:c>
      <x:c r="G129" s="21" t="n">
        <x:v>11576</x:v>
      </x:c>
      <x:c r="H129" s="22"/>
      <x:c r="I129" s="22"/>
      <x:c r="J129" s="22"/>
      <x:c r="K129" s="18" t="n">
        <x:f>ROUND(F129*G129,0)</x:f>
        <x:v>195056</x:v>
      </x:c>
      <x:c r="L129" s="18" t="n">
        <x:f>ROUND(H126*J126,0)</x:f>
        <x:v>505680</x:v>
      </x:c>
      <x:c r="M129" s="18" t="n">
        <x:f>ROUND(F129*1850,0)</x:f>
        <x:v>31173</x:v>
      </x:c>
      <x:c r="N129" s="18" t="n">
        <x:f>SUM(K129:M129)</x:f>
        <x:v>731909</x:v>
      </x:c>
      <x:c r="O129" s="18" t="n">
        <x:f>ROUND(N129*3%,0)</x:f>
        <x:v>21957</x:v>
      </x:c>
      <x:c r="P129" s="18" t="n">
        <x:f>N129+O129</x:f>
        <x:v>753866</x:v>
      </x:c>
    </x:row>
    <x:row r="130" ht="24" customHeight="1">
      <x:c r="A130" s="2"/>
      <x:c r="B130" s="3" t="s">
        <x:v>55</x:v>
      </x:c>
      <x:c r="C130" s="3" t="s">
        <x:v>17</x:v>
      </x:c>
      <x:c r="D130" s="3" t="s">
        <x:v>18</x:v>
      </x:c>
      <x:c r="E130" s="3" t="s">
        <x:v>19</x:v>
      </x:c>
      <x:c r="F130" s="4">
        <x:v>7.1059999999999999</x:v>
      </x:c>
      <x:c r="G130" s="16" t="n">
        <x:v>250</x:v>
      </x:c>
      <x:c r="H130" s="16">
        <x:v>5.94</x:v>
      </x:c>
      <x:c r="I130" s="17">
        <x:v>18</x:v>
      </x:c>
      <x:c r="J130" s="16" t="n">
        <x:v>42000</x:v>
      </x:c>
      <x:c r="K130" s="18" t="n">
        <x:f>ROUND(F130*G130,0)</x:f>
        <x:v>1777</x:v>
      </x:c>
      <x:c r="L130" s="18" t="n">
        <x:f>ROUND(H130*J130,0)</x:f>
        <x:v>249480</x:v>
      </x:c>
      <x:c r="M130" s="18" t="n">
        <x:f>ROUND(F130*1850,0)</x:f>
        <x:v>13146</x:v>
      </x:c>
      <x:c r="N130" s="18" t="n">
        <x:f>SUM(K130:M130)</x:f>
        <x:v>264403</x:v>
      </x:c>
      <x:c r="O130" s="18" t="n">
        <x:f>ROUND(N130*3%,0)</x:f>
        <x:v>7932</x:v>
      </x:c>
      <x:c r="P130" s="18" t="n">
        <x:f>N130+O130</x:f>
        <x:v>272335</x:v>
      </x:c>
    </x:row>
    <x:row r="131" ht="24" customHeight="1">
      <x:c r="A131" s="7"/>
      <x:c r="B131" s="7"/>
      <x:c r="C131" s="3" t="s">
        <x:v>20</x:v>
      </x:c>
      <x:c r="D131" s="3" t="s">
        <x:v>21</x:v>
      </x:c>
      <x:c r="E131" s="7"/>
      <x:c r="F131" s="4">
        <x:v>7.9420000000000002</x:v>
      </x:c>
      <x:c r="G131" s="19" t="n">
        <x:v>5790</x:v>
      </x:c>
      <x:c r="H131" s="20"/>
      <x:c r="I131" s="20"/>
      <x:c r="J131" s="20"/>
      <x:c r="K131" s="18" t="n">
        <x:f>ROUND(F131*G131,0)</x:f>
        <x:v>45984</x:v>
      </x:c>
      <x:c r="L131" s="18" t="n">
        <x:f>ROUND(H130*J130,0)</x:f>
        <x:v>249480</x:v>
      </x:c>
      <x:c r="M131" s="18" t="n">
        <x:f>ROUND(F131*1850,0)</x:f>
        <x:v>14693</x:v>
      </x:c>
      <x:c r="N131" s="18" t="n">
        <x:f>SUM(K131:M131)</x:f>
        <x:v>310157</x:v>
      </x:c>
      <x:c r="O131" s="18" t="n">
        <x:f>ROUND(N131*3%,0)</x:f>
        <x:v>9305</x:v>
      </x:c>
      <x:c r="P131" s="18" t="n">
        <x:f>N131+O131</x:f>
        <x:v>319462</x:v>
      </x:c>
    </x:row>
    <x:row r="132" ht="24" customHeight="1">
      <x:c r="A132" s="7"/>
      <x:c r="B132" s="7"/>
      <x:c r="C132" s="3" t="s">
        <x:v>20</x:v>
      </x:c>
      <x:c r="D132" s="3" t="s">
        <x:v>22</x:v>
      </x:c>
      <x:c r="E132" s="7"/>
      <x:c r="F132" s="4">
        <x:v>8.8825000000000003</x:v>
      </x:c>
      <x:c r="G132" s="19" t="n">
        <x:v>9003</x:v>
      </x:c>
      <x:c r="H132" s="20"/>
      <x:c r="I132" s="20"/>
      <x:c r="J132" s="20"/>
      <x:c r="K132" s="18" t="n">
        <x:f>ROUND(F132*G132,0)</x:f>
        <x:v>79969</x:v>
      </x:c>
      <x:c r="L132" s="18" t="n">
        <x:f>ROUND(H130*J130,0)</x:f>
        <x:v>249480</x:v>
      </x:c>
      <x:c r="M132" s="18" t="n">
        <x:f>ROUND(F132*1850,0)</x:f>
        <x:v>16433</x:v>
      </x:c>
      <x:c r="N132" s="18" t="n">
        <x:f>SUM(K132:M132)</x:f>
        <x:v>345882</x:v>
      </x:c>
      <x:c r="O132" s="18" t="n">
        <x:f>ROUND(N132*3%,0)</x:f>
        <x:v>10376</x:v>
      </x:c>
      <x:c r="P132" s="18" t="n">
        <x:f>N132+O132</x:f>
        <x:v>356258</x:v>
      </x:c>
    </x:row>
    <x:row r="133" ht="24" customHeight="1">
      <x:c r="A133" s="9"/>
      <x:c r="B133" s="9"/>
      <x:c r="C133" s="3" t="s">
        <x:v>20</x:v>
      </x:c>
      <x:c r="D133" s="3" t="s">
        <x:v>23</x:v>
      </x:c>
      <x:c r="E133" s="9"/>
      <x:c r="F133" s="4">
        <x:v>10.45</x:v>
      </x:c>
      <x:c r="G133" s="21" t="n">
        <x:v>11576</x:v>
      </x:c>
      <x:c r="H133" s="22"/>
      <x:c r="I133" s="22"/>
      <x:c r="J133" s="22"/>
      <x:c r="K133" s="18" t="n">
        <x:f>ROUND(F133*G133,0)</x:f>
        <x:v>120969</x:v>
      </x:c>
      <x:c r="L133" s="18" t="n">
        <x:f>ROUND(H130*J130,0)</x:f>
        <x:v>249480</x:v>
      </x:c>
      <x:c r="M133" s="18" t="n">
        <x:f>ROUND(F133*1850,0)</x:f>
        <x:v>19333</x:v>
      </x:c>
      <x:c r="N133" s="18" t="n">
        <x:f>SUM(K133:M133)</x:f>
        <x:v>389782</x:v>
      </x:c>
      <x:c r="O133" s="18" t="n">
        <x:f>ROUND(N133*3%,0)</x:f>
        <x:v>11693</x:v>
      </x:c>
      <x:c r="P133" s="18" t="n">
        <x:f>N133+O133</x:f>
        <x:v>401475</x:v>
      </x:c>
    </x:row>
    <x:row r="134" ht="24" customHeight="1">
      <x:c r="A134" s="2"/>
      <x:c r="B134" s="3" t="s">
        <x:v>56</x:v>
      </x:c>
      <x:c r="C134" s="3" t="s">
        <x:v>17</x:v>
      </x:c>
      <x:c r="D134" s="3" t="s">
        <x:v>18</x:v>
      </x:c>
      <x:c r="E134" s="3" t="s">
        <x:v>19</x:v>
      </x:c>
      <x:c r="F134" s="4">
        <x:v>10.404</x:v>
      </x:c>
      <x:c r="G134" s="16" t="n">
        <x:v>250</x:v>
      </x:c>
      <x:c r="H134" s="16">
        <x:v>3.8370000000000002</x:v>
      </x:c>
      <x:c r="I134" s="17">
        <x:v>79</x:v>
      </x:c>
      <x:c r="J134" s="16" t="n">
        <x:v>42000</x:v>
      </x:c>
      <x:c r="K134" s="18" t="n">
        <x:f>ROUND(F134*G134,0)</x:f>
        <x:v>2601</x:v>
      </x:c>
      <x:c r="L134" s="18" t="n">
        <x:f>ROUND(H134*J134,0)</x:f>
        <x:v>161154</x:v>
      </x:c>
      <x:c r="M134" s="18" t="n">
        <x:f>ROUND(F134*1850,0)</x:f>
        <x:v>19247</x:v>
      </x:c>
      <x:c r="N134" s="18" t="n">
        <x:f>SUM(K134:M134)</x:f>
        <x:v>183002</x:v>
      </x:c>
      <x:c r="O134" s="18" t="n">
        <x:f>ROUND(N134*3%,0)</x:f>
        <x:v>5490</x:v>
      </x:c>
      <x:c r="P134" s="18" t="n">
        <x:f>N134+O134</x:f>
        <x:v>188492</x:v>
      </x:c>
    </x:row>
    <x:row r="135" ht="24" customHeight="1">
      <x:c r="A135" s="7"/>
      <x:c r="B135" s="7"/>
      <x:c r="C135" s="3" t="s">
        <x:v>20</x:v>
      </x:c>
      <x:c r="D135" s="3" t="s">
        <x:v>21</x:v>
      </x:c>
      <x:c r="E135" s="7"/>
      <x:c r="F135" s="4">
        <x:v>11.628</x:v>
      </x:c>
      <x:c r="G135" s="19" t="n">
        <x:v>5790</x:v>
      </x:c>
      <x:c r="H135" s="20"/>
      <x:c r="I135" s="20"/>
      <x:c r="J135" s="20"/>
      <x:c r="K135" s="18" t="n">
        <x:f>ROUND(F135*G135,0)</x:f>
        <x:v>67326</x:v>
      </x:c>
      <x:c r="L135" s="18" t="n">
        <x:f>ROUND(H134*J134,0)</x:f>
        <x:v>161154</x:v>
      </x:c>
      <x:c r="M135" s="18" t="n">
        <x:f>ROUND(F135*1850,0)</x:f>
        <x:v>21512</x:v>
      </x:c>
      <x:c r="N135" s="18" t="n">
        <x:f>SUM(K135:M135)</x:f>
        <x:v>249992</x:v>
      </x:c>
      <x:c r="O135" s="18" t="n">
        <x:f>ROUND(N135*3%,0)</x:f>
        <x:v>7500</x:v>
      </x:c>
      <x:c r="P135" s="18" t="n">
        <x:f>N135+O135</x:f>
        <x:v>257492</x:v>
      </x:c>
    </x:row>
    <x:row r="136" ht="24" customHeight="1">
      <x:c r="A136" s="7"/>
      <x:c r="B136" s="7"/>
      <x:c r="C136" s="3" t="s">
        <x:v>20</x:v>
      </x:c>
      <x:c r="D136" s="3" t="s">
        <x:v>22</x:v>
      </x:c>
      <x:c r="E136" s="7"/>
      <x:c r="F136" s="4">
        <x:v>13.005000000000001</x:v>
      </x:c>
      <x:c r="G136" s="19" t="n">
        <x:v>9003</x:v>
      </x:c>
      <x:c r="H136" s="20"/>
      <x:c r="I136" s="20"/>
      <x:c r="J136" s="20"/>
      <x:c r="K136" s="18" t="n">
        <x:f>ROUND(F136*G136,0)</x:f>
        <x:v>117084</x:v>
      </x:c>
      <x:c r="L136" s="18" t="n">
        <x:f>ROUND(H134*J134,0)</x:f>
        <x:v>161154</x:v>
      </x:c>
      <x:c r="M136" s="18" t="n">
        <x:f>ROUND(F136*1850,0)</x:f>
        <x:v>24059</x:v>
      </x:c>
      <x:c r="N136" s="18" t="n">
        <x:f>SUM(K136:M136)</x:f>
        <x:v>302297</x:v>
      </x:c>
      <x:c r="O136" s="18" t="n">
        <x:f>ROUND(N136*3%,0)</x:f>
        <x:v>9069</x:v>
      </x:c>
      <x:c r="P136" s="18" t="n">
        <x:f>N136+O136</x:f>
        <x:v>311366</x:v>
      </x:c>
    </x:row>
    <x:row r="137" ht="24" customHeight="1">
      <x:c r="A137" s="9"/>
      <x:c r="B137" s="9"/>
      <x:c r="C137" s="3" t="s">
        <x:v>20</x:v>
      </x:c>
      <x:c r="D137" s="3" t="s">
        <x:v>23</x:v>
      </x:c>
      <x:c r="E137" s="9"/>
      <x:c r="F137" s="4">
        <x:v>15.3</x:v>
      </x:c>
      <x:c r="G137" s="21" t="n">
        <x:v>11576</x:v>
      </x:c>
      <x:c r="H137" s="22"/>
      <x:c r="I137" s="22"/>
      <x:c r="J137" s="22"/>
      <x:c r="K137" s="18" t="n">
        <x:f>ROUND(F137*G137,0)</x:f>
        <x:v>177113</x:v>
      </x:c>
      <x:c r="L137" s="18" t="n">
        <x:f>ROUND(H134*J134,0)</x:f>
        <x:v>161154</x:v>
      </x:c>
      <x:c r="M137" s="18" t="n">
        <x:f>ROUND(F137*1850,0)</x:f>
        <x:v>28305</x:v>
      </x:c>
      <x:c r="N137" s="18" t="n">
        <x:f>SUM(K137:M137)</x:f>
        <x:v>366572</x:v>
      </x:c>
      <x:c r="O137" s="18" t="n">
        <x:f>ROUND(N137*3%,0)</x:f>
        <x:v>10997</x:v>
      </x:c>
      <x:c r="P137" s="18" t="n">
        <x:f>N137+O137</x:f>
        <x:v>377569</x:v>
      </x:c>
    </x:row>
    <x:row r="138" ht="24" customHeight="1">
      <x:c r="A138" s="2"/>
      <x:c r="B138" s="3" t="s">
        <x:v>57</x:v>
      </x:c>
      <x:c r="C138" s="3" t="s">
        <x:v>17</x:v>
      </x:c>
      <x:c r="D138" s="3" t="s">
        <x:v>18</x:v>
      </x:c>
      <x:c r="E138" s="3" t="s">
        <x:v>19</x:v>
      </x:c>
      <x:c r="F138" s="4">
        <x:v>10.744</x:v>
      </x:c>
      <x:c r="G138" s="16" t="n">
        <x:v>250</x:v>
      </x:c>
      <x:c r="H138" s="16">
        <x:v>6.37</x:v>
      </x:c>
      <x:c r="I138" s="17">
        <x:v>49</x:v>
      </x:c>
      <x:c r="J138" s="16" t="n">
        <x:v>42000</x:v>
      </x:c>
      <x:c r="K138" s="18" t="n">
        <x:f>ROUND(F138*G138,0)</x:f>
        <x:v>2686</x:v>
      </x:c>
      <x:c r="L138" s="18" t="n">
        <x:f>ROUND(H138*J138,0)</x:f>
        <x:v>267540</x:v>
      </x:c>
      <x:c r="M138" s="18" t="n">
        <x:f>ROUND(F138*1850,0)</x:f>
        <x:v>19876</x:v>
      </x:c>
      <x:c r="N138" s="18" t="n">
        <x:f>SUM(K138:M138)</x:f>
        <x:v>290102</x:v>
      </x:c>
      <x:c r="O138" s="18" t="n">
        <x:f>ROUND(N138*3%,0)</x:f>
        <x:v>8703</x:v>
      </x:c>
      <x:c r="P138" s="18" t="n">
        <x:f>N138+O138</x:f>
        <x:v>298805</x:v>
      </x:c>
    </x:row>
    <x:row r="139" ht="24" customHeight="1">
      <x:c r="A139" s="7"/>
      <x:c r="B139" s="7"/>
      <x:c r="C139" s="3" t="s">
        <x:v>20</x:v>
      </x:c>
      <x:c r="D139" s="3" t="s">
        <x:v>21</x:v>
      </x:c>
      <x:c r="E139" s="7"/>
      <x:c r="F139" s="4">
        <x:v>12.007999999999999</x:v>
      </x:c>
      <x:c r="G139" s="19" t="n">
        <x:v>5790</x:v>
      </x:c>
      <x:c r="H139" s="20"/>
      <x:c r="I139" s="20"/>
      <x:c r="J139" s="20"/>
      <x:c r="K139" s="18" t="n">
        <x:f>ROUND(F139*G139,0)</x:f>
        <x:v>69526</x:v>
      </x:c>
      <x:c r="L139" s="18" t="n">
        <x:f>ROUND(H138*J138,0)</x:f>
        <x:v>267540</x:v>
      </x:c>
      <x:c r="M139" s="18" t="n">
        <x:f>ROUND(F139*1850,0)</x:f>
        <x:v>22215</x:v>
      </x:c>
      <x:c r="N139" s="18" t="n">
        <x:f>SUM(K139:M139)</x:f>
        <x:v>359281</x:v>
      </x:c>
      <x:c r="O139" s="18" t="n">
        <x:f>ROUND(N139*3%,0)</x:f>
        <x:v>10778</x:v>
      </x:c>
      <x:c r="P139" s="18" t="n">
        <x:f>N139+O139</x:f>
        <x:v>370059</x:v>
      </x:c>
    </x:row>
    <x:row r="140" ht="24" customHeight="1">
      <x:c r="A140" s="7"/>
      <x:c r="B140" s="7"/>
      <x:c r="C140" s="3" t="s">
        <x:v>20</x:v>
      </x:c>
      <x:c r="D140" s="3" t="s">
        <x:v>22</x:v>
      </x:c>
      <x:c r="E140" s="7"/>
      <x:c r="F140" s="4">
        <x:v>13.43</x:v>
      </x:c>
      <x:c r="G140" s="19" t="n">
        <x:v>9003</x:v>
      </x:c>
      <x:c r="H140" s="20"/>
      <x:c r="I140" s="20"/>
      <x:c r="J140" s="20"/>
      <x:c r="K140" s="18" t="n">
        <x:f>ROUND(F140*G140,0)</x:f>
        <x:v>120910</x:v>
      </x:c>
      <x:c r="L140" s="18" t="n">
        <x:f>ROUND(H138*J138,0)</x:f>
        <x:v>267540</x:v>
      </x:c>
      <x:c r="M140" s="18" t="n">
        <x:f>ROUND(F140*1850,0)</x:f>
        <x:v>24846</x:v>
      </x:c>
      <x:c r="N140" s="18" t="n">
        <x:f>SUM(K140:M140)</x:f>
        <x:v>413296</x:v>
      </x:c>
      <x:c r="O140" s="18" t="n">
        <x:f>ROUND(N140*3%,0)</x:f>
        <x:v>12399</x:v>
      </x:c>
      <x:c r="P140" s="18" t="n">
        <x:f>N140+O140</x:f>
        <x:v>425695</x:v>
      </x:c>
    </x:row>
    <x:row r="141" ht="24" customHeight="1">
      <x:c r="A141" s="9"/>
      <x:c r="B141" s="9"/>
      <x:c r="C141" s="3" t="s">
        <x:v>20</x:v>
      </x:c>
      <x:c r="D141" s="3" t="s">
        <x:v>23</x:v>
      </x:c>
      <x:c r="E141" s="9"/>
      <x:c r="F141" s="4">
        <x:v>15.8</x:v>
      </x:c>
      <x:c r="G141" s="21" t="n">
        <x:v>11576</x:v>
      </x:c>
      <x:c r="H141" s="22"/>
      <x:c r="I141" s="22"/>
      <x:c r="J141" s="22"/>
      <x:c r="K141" s="18" t="n">
        <x:f>ROUND(F141*G141,0)</x:f>
        <x:v>182901</x:v>
      </x:c>
      <x:c r="L141" s="18" t="n">
        <x:f>ROUND(H138*J138,0)</x:f>
        <x:v>267540</x:v>
      </x:c>
      <x:c r="M141" s="18" t="n">
        <x:f>ROUND(F141*1850,0)</x:f>
        <x:v>29230</x:v>
      </x:c>
      <x:c r="N141" s="18" t="n">
        <x:f>SUM(K141:M141)</x:f>
        <x:v>479671</x:v>
      </x:c>
      <x:c r="O141" s="18" t="n">
        <x:f>ROUND(N141*3%,0)</x:f>
        <x:v>14390</x:v>
      </x:c>
      <x:c r="P141" s="18" t="n">
        <x:f>N141+O141</x:f>
        <x:v>494061</x:v>
      </x:c>
    </x:row>
    <x:row r="142" ht="24" customHeight="1">
      <x:c r="A142" s="2"/>
      <x:c r="B142" s="3" t="s">
        <x:v>58</x:v>
      </x:c>
      <x:c r="C142" s="3" t="s">
        <x:v>17</x:v>
      </x:c>
      <x:c r="D142" s="3" t="s">
        <x:v>18</x:v>
      </x:c>
      <x:c r="E142" s="3" t="s">
        <x:v>19</x:v>
      </x:c>
      <x:c r="F142" s="4">
        <x:v>18.122</x:v>
      </x:c>
      <x:c r="G142" s="16" t="n">
        <x:v>250</x:v>
      </x:c>
      <x:c r="H142" s="16">
        <x:v>12</x:v>
      </x:c>
      <x:c r="I142" s="17">
        <x:v>60</x:v>
      </x:c>
      <x:c r="J142" s="16" t="n">
        <x:v>42000</x:v>
      </x:c>
      <x:c r="K142" s="18" t="n">
        <x:f>ROUND(F142*G142,0)</x:f>
        <x:v>4531</x:v>
      </x:c>
      <x:c r="L142" s="18" t="n">
        <x:f>ROUND(H142*J142,0)</x:f>
        <x:v>504000</x:v>
      </x:c>
      <x:c r="M142" s="18" t="n">
        <x:f>ROUND(F142*1850,0)</x:f>
        <x:v>33526</x:v>
      </x:c>
      <x:c r="N142" s="18" t="n">
        <x:f>SUM(K142:M142)</x:f>
        <x:v>542057</x:v>
      </x:c>
      <x:c r="O142" s="18" t="n">
        <x:f>ROUND(N142*3%,0)</x:f>
        <x:v>16262</x:v>
      </x:c>
      <x:c r="P142" s="18" t="n">
        <x:f>N142+O142</x:f>
        <x:v>558319</x:v>
      </x:c>
    </x:row>
    <x:row r="143" ht="24" customHeight="1">
      <x:c r="A143" s="7"/>
      <x:c r="B143" s="7"/>
      <x:c r="C143" s="3" t="s">
        <x:v>20</x:v>
      </x:c>
      <x:c r="D143" s="3" t="s">
        <x:v>21</x:v>
      </x:c>
      <x:c r="E143" s="7"/>
      <x:c r="F143" s="4">
        <x:v>20.254000000000001</x:v>
      </x:c>
      <x:c r="G143" s="19" t="n">
        <x:v>5790</x:v>
      </x:c>
      <x:c r="H143" s="20"/>
      <x:c r="I143" s="20"/>
      <x:c r="J143" s="20"/>
      <x:c r="K143" s="18" t="n">
        <x:f>ROUND(F143*G143,0)</x:f>
        <x:v>117271</x:v>
      </x:c>
      <x:c r="L143" s="18" t="n">
        <x:f>ROUND(H142*J142,0)</x:f>
        <x:v>504000</x:v>
      </x:c>
      <x:c r="M143" s="18" t="n">
        <x:f>ROUND(F143*1850,0)</x:f>
        <x:v>37470</x:v>
      </x:c>
      <x:c r="N143" s="18" t="n">
        <x:f>SUM(K143:M143)</x:f>
        <x:v>658741</x:v>
      </x:c>
      <x:c r="O143" s="18" t="n">
        <x:f>ROUND(N143*3%,0)</x:f>
        <x:v>19762</x:v>
      </x:c>
      <x:c r="P143" s="18" t="n">
        <x:f>N143+O143</x:f>
        <x:v>678503</x:v>
      </x:c>
    </x:row>
    <x:row r="144" ht="24" customHeight="1">
      <x:c r="A144" s="7"/>
      <x:c r="B144" s="7"/>
      <x:c r="C144" s="3" t="s">
        <x:v>20</x:v>
      </x:c>
      <x:c r="D144" s="3" t="s">
        <x:v>22</x:v>
      </x:c>
      <x:c r="E144" s="7"/>
      <x:c r="F144" s="4">
        <x:v>22.6525</x:v>
      </x:c>
      <x:c r="G144" s="19" t="n">
        <x:v>9003</x:v>
      </x:c>
      <x:c r="H144" s="20"/>
      <x:c r="I144" s="20"/>
      <x:c r="J144" s="20"/>
      <x:c r="K144" s="18" t="n">
        <x:f>ROUND(F144*G144,0)</x:f>
        <x:v>203940</x:v>
      </x:c>
      <x:c r="L144" s="18" t="n">
        <x:f>ROUND(H142*J142,0)</x:f>
        <x:v>504000</x:v>
      </x:c>
      <x:c r="M144" s="18" t="n">
        <x:f>ROUND(F144*1850,0)</x:f>
        <x:v>41907</x:v>
      </x:c>
      <x:c r="N144" s="18" t="n">
        <x:f>SUM(K144:M144)</x:f>
        <x:v>749847</x:v>
      </x:c>
      <x:c r="O144" s="18" t="n">
        <x:f>ROUND(N144*3%,0)</x:f>
        <x:v>22495</x:v>
      </x:c>
      <x:c r="P144" s="18" t="n">
        <x:f>N144+O144</x:f>
        <x:v>772342</x:v>
      </x:c>
    </x:row>
    <x:row r="145" ht="24" customHeight="1">
      <x:c r="A145" s="9"/>
      <x:c r="B145" s="9"/>
      <x:c r="C145" s="3" t="s">
        <x:v>20</x:v>
      </x:c>
      <x:c r="D145" s="3" t="s">
        <x:v>23</x:v>
      </x:c>
      <x:c r="E145" s="9"/>
      <x:c r="F145" s="4">
        <x:v>26.65</x:v>
      </x:c>
      <x:c r="G145" s="21" t="n">
        <x:v>11576</x:v>
      </x:c>
      <x:c r="H145" s="22"/>
      <x:c r="I145" s="22"/>
      <x:c r="J145" s="22"/>
      <x:c r="K145" s="18" t="n">
        <x:f>ROUND(F145*G145,0)</x:f>
        <x:v>308500</x:v>
      </x:c>
      <x:c r="L145" s="18" t="n">
        <x:f>ROUND(H142*J142,0)</x:f>
        <x:v>504000</x:v>
      </x:c>
      <x:c r="M145" s="18" t="n">
        <x:f>ROUND(F145*1850,0)</x:f>
        <x:v>49303</x:v>
      </x:c>
      <x:c r="N145" s="18" t="n">
        <x:f>SUM(K145:M145)</x:f>
        <x:v>861803</x:v>
      </x:c>
      <x:c r="O145" s="18" t="n">
        <x:f>ROUND(N145*3%,0)</x:f>
        <x:v>25854</x:v>
      </x:c>
      <x:c r="P145" s="18" t="n">
        <x:f>N145+O145</x:f>
        <x:v>887657</x:v>
      </x:c>
    </x:row>
    <x:row r="146" ht="24" customHeight="1">
      <x:c r="A146" s="2"/>
      <x:c r="B146" s="3" t="s">
        <x:v>59</x:v>
      </x:c>
      <x:c r="C146" s="3" t="s">
        <x:v>17</x:v>
      </x:c>
      <x:c r="D146" s="3" t="s">
        <x:v>18</x:v>
      </x:c>
      <x:c r="E146" s="3" t="s">
        <x:v>19</x:v>
      </x:c>
      <x:c r="F146" s="4">
        <x:v>9.35</x:v>
      </x:c>
      <x:c r="G146" s="16" t="n">
        <x:v>250</x:v>
      </x:c>
      <x:c r="H146" s="16">
        <x:v>3.7</x:v>
      </x:c>
      <x:c r="I146" s="17">
        <x:v>37</x:v>
      </x:c>
      <x:c r="J146" s="16" t="n">
        <x:v>42000</x:v>
      </x:c>
      <x:c r="K146" s="18" t="n">
        <x:f>ROUND(F146*G146,0)</x:f>
        <x:v>2338</x:v>
      </x:c>
      <x:c r="L146" s="18" t="n">
        <x:f>ROUND(H146*J146,0)</x:f>
        <x:v>155400</x:v>
      </x:c>
      <x:c r="M146" s="18" t="n">
        <x:f>ROUND(F146*1850,0)</x:f>
        <x:v>17298</x:v>
      </x:c>
      <x:c r="N146" s="18" t="n">
        <x:f>SUM(K146:M146)</x:f>
        <x:v>175036</x:v>
      </x:c>
      <x:c r="O146" s="18" t="n">
        <x:f>ROUND(N146*3%,0)</x:f>
        <x:v>5251</x:v>
      </x:c>
      <x:c r="P146" s="18" t="n">
        <x:f>N146+O146</x:f>
        <x:v>180287</x:v>
      </x:c>
    </x:row>
    <x:row r="147" ht="24" customHeight="1">
      <x:c r="A147" s="7"/>
      <x:c r="B147" s="7"/>
      <x:c r="C147" s="3" t="s">
        <x:v>20</x:v>
      </x:c>
      <x:c r="D147" s="3" t="s">
        <x:v>21</x:v>
      </x:c>
      <x:c r="E147" s="7"/>
      <x:c r="F147" s="4">
        <x:v>10.45</x:v>
      </x:c>
      <x:c r="G147" s="19" t="n">
        <x:v>5790</x:v>
      </x:c>
      <x:c r="H147" s="20"/>
      <x:c r="I147" s="20"/>
      <x:c r="J147" s="20"/>
      <x:c r="K147" s="18" t="n">
        <x:f>ROUND(F147*G147,0)</x:f>
        <x:v>60505</x:v>
      </x:c>
      <x:c r="L147" s="18" t="n">
        <x:f>ROUND(H146*J146,0)</x:f>
        <x:v>155400</x:v>
      </x:c>
      <x:c r="M147" s="18" t="n">
        <x:f>ROUND(F147*1850,0)</x:f>
        <x:v>19333</x:v>
      </x:c>
      <x:c r="N147" s="18" t="n">
        <x:f>SUM(K147:M147)</x:f>
        <x:v>235238</x:v>
      </x:c>
      <x:c r="O147" s="18" t="n">
        <x:f>ROUND(N147*3%,0)</x:f>
        <x:v>7057</x:v>
      </x:c>
      <x:c r="P147" s="18" t="n">
        <x:f>N147+O147</x:f>
        <x:v>242295</x:v>
      </x:c>
    </x:row>
    <x:row r="148" ht="24" customHeight="1">
      <x:c r="A148" s="7"/>
      <x:c r="B148" s="7"/>
      <x:c r="C148" s="3" t="s">
        <x:v>20</x:v>
      </x:c>
      <x:c r="D148" s="3" t="s">
        <x:v>22</x:v>
      </x:c>
      <x:c r="E148" s="7"/>
      <x:c r="F148" s="4">
        <x:v>11.6875</x:v>
      </x:c>
      <x:c r="G148" s="19" t="n">
        <x:v>9003</x:v>
      </x:c>
      <x:c r="H148" s="20"/>
      <x:c r="I148" s="20"/>
      <x:c r="J148" s="20"/>
      <x:c r="K148" s="18" t="n">
        <x:f>ROUND(F148*G148,0)</x:f>
        <x:v>105223</x:v>
      </x:c>
      <x:c r="L148" s="18" t="n">
        <x:f>ROUND(H146*J146,0)</x:f>
        <x:v>155400</x:v>
      </x:c>
      <x:c r="M148" s="18" t="n">
        <x:f>ROUND(F148*1850,0)</x:f>
        <x:v>21622</x:v>
      </x:c>
      <x:c r="N148" s="18" t="n">
        <x:f>SUM(K148:M148)</x:f>
        <x:v>282245</x:v>
      </x:c>
      <x:c r="O148" s="18" t="n">
        <x:f>ROUND(N148*3%,0)</x:f>
        <x:v>8467</x:v>
      </x:c>
      <x:c r="P148" s="18" t="n">
        <x:f>N148+O148</x:f>
        <x:v>290712</x:v>
      </x:c>
    </x:row>
    <x:row r="149" ht="24" customHeight="1">
      <x:c r="A149" s="9"/>
      <x:c r="B149" s="9"/>
      <x:c r="C149" s="3" t="s">
        <x:v>20</x:v>
      </x:c>
      <x:c r="D149" s="3" t="s">
        <x:v>23</x:v>
      </x:c>
      <x:c r="E149" s="9"/>
      <x:c r="F149" s="4">
        <x:v>13.75</x:v>
      </x:c>
      <x:c r="G149" s="21" t="n">
        <x:v>11576</x:v>
      </x:c>
      <x:c r="H149" s="22"/>
      <x:c r="I149" s="22"/>
      <x:c r="J149" s="22"/>
      <x:c r="K149" s="18" t="n">
        <x:f>ROUND(F149*G149,0)</x:f>
        <x:v>159170</x:v>
      </x:c>
      <x:c r="L149" s="18" t="n">
        <x:f>ROUND(H146*J146,0)</x:f>
        <x:v>155400</x:v>
      </x:c>
      <x:c r="M149" s="18" t="n">
        <x:f>ROUND(F149*1850,0)</x:f>
        <x:v>25438</x:v>
      </x:c>
      <x:c r="N149" s="18" t="n">
        <x:f>SUM(K149:M149)</x:f>
        <x:v>340008</x:v>
      </x:c>
      <x:c r="O149" s="18" t="n">
        <x:f>ROUND(N149*3%,0)</x:f>
        <x:v>10200</x:v>
      </x:c>
      <x:c r="P149" s="18" t="n">
        <x:f>N149+O149</x:f>
        <x:v>350208</x:v>
      </x:c>
    </x:row>
    <x:row r="150" ht="24" customHeight="1">
      <x:c r="A150" s="2"/>
      <x:c r="B150" s="3" t="s">
        <x:v>60</x:v>
      </x:c>
      <x:c r="C150" s="3" t="s">
        <x:v>17</x:v>
      </x:c>
      <x:c r="D150" s="3" t="s">
        <x:v>18</x:v>
      </x:c>
      <x:c r="E150" s="3" t="s">
        <x:v>19</x:v>
      </x:c>
      <x:c r="F150" s="4">
        <x:v>13.497999999999999</x:v>
      </x:c>
      <x:c r="G150" s="16" t="n">
        <x:v>250</x:v>
      </x:c>
      <x:c r="H150" s="16">
        <x:v>8.9600000000000009</x:v>
      </x:c>
      <x:c r="I150" s="17">
        <x:v>28</x:v>
      </x:c>
      <x:c r="J150" s="16" t="n">
        <x:v>42000</x:v>
      </x:c>
      <x:c r="K150" s="18" t="n">
        <x:f>ROUND(F150*G150,0)</x:f>
        <x:v>3375</x:v>
      </x:c>
      <x:c r="L150" s="18" t="n">
        <x:f>ROUND(H150*J150,0)</x:f>
        <x:v>376320</x:v>
      </x:c>
      <x:c r="M150" s="18" t="n">
        <x:f>ROUND(F150*1850,0)</x:f>
        <x:v>24971</x:v>
      </x:c>
      <x:c r="N150" s="18" t="n">
        <x:f>SUM(K150:M150)</x:f>
        <x:v>404666</x:v>
      </x:c>
      <x:c r="O150" s="18" t="n">
        <x:f>ROUND(N150*3%,0)</x:f>
        <x:v>12140</x:v>
      </x:c>
      <x:c r="P150" s="18" t="n">
        <x:f>N150+O150</x:f>
        <x:v>416806</x:v>
      </x:c>
    </x:row>
    <x:row r="151" ht="24" customHeight="1">
      <x:c r="A151" s="7"/>
      <x:c r="B151" s="7"/>
      <x:c r="C151" s="3" t="s">
        <x:v>20</x:v>
      </x:c>
      <x:c r="D151" s="3" t="s">
        <x:v>21</x:v>
      </x:c>
      <x:c r="E151" s="7"/>
      <x:c r="F151" s="4">
        <x:v>15.086</x:v>
      </x:c>
      <x:c r="G151" s="19" t="n">
        <x:v>5790</x:v>
      </x:c>
      <x:c r="H151" s="20"/>
      <x:c r="I151" s="20"/>
      <x:c r="J151" s="20"/>
      <x:c r="K151" s="18" t="n">
        <x:f>ROUND(F151*G151,0)</x:f>
        <x:v>87348</x:v>
      </x:c>
      <x:c r="L151" s="18" t="n">
        <x:f>ROUND(H150*J150,0)</x:f>
        <x:v>376320</x:v>
      </x:c>
      <x:c r="M151" s="18" t="n">
        <x:f>ROUND(F151*1850,0)</x:f>
        <x:v>27909</x:v>
      </x:c>
      <x:c r="N151" s="18" t="n">
        <x:f>SUM(K151:M151)</x:f>
        <x:v>491577</x:v>
      </x:c>
      <x:c r="O151" s="18" t="n">
        <x:f>ROUND(N151*3%,0)</x:f>
        <x:v>14747</x:v>
      </x:c>
      <x:c r="P151" s="18" t="n">
        <x:f>N151+O151</x:f>
        <x:v>506324</x:v>
      </x:c>
    </x:row>
    <x:row r="152" ht="24" customHeight="1">
      <x:c r="A152" s="7"/>
      <x:c r="B152" s="7"/>
      <x:c r="C152" s="3" t="s">
        <x:v>20</x:v>
      </x:c>
      <x:c r="D152" s="3" t="s">
        <x:v>22</x:v>
      </x:c>
      <x:c r="E152" s="7"/>
      <x:c r="F152" s="4">
        <x:v>16.872499999999999</x:v>
      </x:c>
      <x:c r="G152" s="19" t="n">
        <x:v>9003</x:v>
      </x:c>
      <x:c r="H152" s="20"/>
      <x:c r="I152" s="20"/>
      <x:c r="J152" s="20"/>
      <x:c r="K152" s="18" t="n">
        <x:f>ROUND(F152*G152,0)</x:f>
        <x:v>151903</x:v>
      </x:c>
      <x:c r="L152" s="18" t="n">
        <x:f>ROUND(H150*J150,0)</x:f>
        <x:v>376320</x:v>
      </x:c>
      <x:c r="M152" s="18" t="n">
        <x:f>ROUND(F152*1850,0)</x:f>
        <x:v>31214</x:v>
      </x:c>
      <x:c r="N152" s="18" t="n">
        <x:f>SUM(K152:M152)</x:f>
        <x:v>559437</x:v>
      </x:c>
      <x:c r="O152" s="18" t="n">
        <x:f>ROUND(N152*3%,0)</x:f>
        <x:v>16783</x:v>
      </x:c>
      <x:c r="P152" s="18" t="n">
        <x:f>N152+O152</x:f>
        <x:v>576220</x:v>
      </x:c>
    </x:row>
    <x:row r="153" ht="24" customHeight="1">
      <x:c r="A153" s="9"/>
      <x:c r="B153" s="9"/>
      <x:c r="C153" s="3" t="s">
        <x:v>20</x:v>
      </x:c>
      <x:c r="D153" s="3" t="s">
        <x:v>23</x:v>
      </x:c>
      <x:c r="E153" s="9"/>
      <x:c r="F153" s="4">
        <x:v>19.850000000000001</x:v>
      </x:c>
      <x:c r="G153" s="21" t="n">
        <x:v>11576</x:v>
      </x:c>
      <x:c r="H153" s="22"/>
      <x:c r="I153" s="22"/>
      <x:c r="J153" s="22"/>
      <x:c r="K153" s="18" t="n">
        <x:f>ROUND(F153*G153,0)</x:f>
        <x:v>229784</x:v>
      </x:c>
      <x:c r="L153" s="18" t="n">
        <x:f>ROUND(H150*J150,0)</x:f>
        <x:v>376320</x:v>
      </x:c>
      <x:c r="M153" s="18" t="n">
        <x:f>ROUND(F153*1850,0)</x:f>
        <x:v>36723</x:v>
      </x:c>
      <x:c r="N153" s="18" t="n">
        <x:f>SUM(K153:M153)</x:f>
        <x:v>642827</x:v>
      </x:c>
      <x:c r="O153" s="18" t="n">
        <x:f>ROUND(N153*3%,0)</x:f>
        <x:v>19285</x:v>
      </x:c>
      <x:c r="P153" s="18" t="n">
        <x:f>N153+O153</x:f>
        <x:v>662112</x:v>
      </x:c>
    </x:row>
    <x:row r="154" ht="24" customHeight="1">
      <x:c r="A154" s="2"/>
      <x:c r="B154" s="3" t="s">
        <x:v>61</x:v>
      </x:c>
      <x:c r="C154" s="3" t="s">
        <x:v>17</x:v>
      </x:c>
      <x:c r="D154" s="3" t="s">
        <x:v>18</x:v>
      </x:c>
      <x:c r="E154" s="3" t="s">
        <x:v>19</x:v>
      </x:c>
      <x:c r="F154" s="4">
        <x:v>9.35</x:v>
      </x:c>
      <x:c r="G154" s="16" t="n">
        <x:v>250</x:v>
      </x:c>
      <x:c r="H154" s="16">
        <x:v>4.9969999999999999</x:v>
      </x:c>
      <x:c r="I154" s="17">
        <x:v>767</x:v>
      </x:c>
      <x:c r="J154" s="16" t="n">
        <x:v>42000</x:v>
      </x:c>
      <x:c r="K154" s="18" t="n">
        <x:f>ROUND(F154*G154,0)</x:f>
        <x:v>2338</x:v>
      </x:c>
      <x:c r="L154" s="18" t="n">
        <x:f>ROUND(H154*J154,0)</x:f>
        <x:v>209874</x:v>
      </x:c>
      <x:c r="M154" s="18" t="n">
        <x:f>ROUND(F154*1850,0)</x:f>
        <x:v>17298</x:v>
      </x:c>
      <x:c r="N154" s="18" t="n">
        <x:f>SUM(K154:M154)</x:f>
        <x:v>229510</x:v>
      </x:c>
      <x:c r="O154" s="18" t="n">
        <x:f>ROUND(N154*3%,0)</x:f>
        <x:v>6885</x:v>
      </x:c>
      <x:c r="P154" s="18" t="n">
        <x:f>N154+O154</x:f>
        <x:v>236395</x:v>
      </x:c>
    </x:row>
    <x:row r="155" ht="24" customHeight="1">
      <x:c r="A155" s="7"/>
      <x:c r="B155" s="7"/>
      <x:c r="C155" s="3" t="s">
        <x:v>20</x:v>
      </x:c>
      <x:c r="D155" s="3" t="s">
        <x:v>21</x:v>
      </x:c>
      <x:c r="E155" s="7"/>
      <x:c r="F155" s="4">
        <x:v>10.45</x:v>
      </x:c>
      <x:c r="G155" s="19" t="n">
        <x:v>5790</x:v>
      </x:c>
      <x:c r="H155" s="20"/>
      <x:c r="I155" s="20"/>
      <x:c r="J155" s="20"/>
      <x:c r="K155" s="18" t="n">
        <x:f>ROUND(F155*G155,0)</x:f>
        <x:v>60505</x:v>
      </x:c>
      <x:c r="L155" s="18" t="n">
        <x:f>ROUND(H154*J154,0)</x:f>
        <x:v>209874</x:v>
      </x:c>
      <x:c r="M155" s="18" t="n">
        <x:f>ROUND(F155*1850,0)</x:f>
        <x:v>19333</x:v>
      </x:c>
      <x:c r="N155" s="18" t="n">
        <x:f>SUM(K155:M155)</x:f>
        <x:v>289712</x:v>
      </x:c>
      <x:c r="O155" s="18" t="n">
        <x:f>ROUND(N155*3%,0)</x:f>
        <x:v>8691</x:v>
      </x:c>
      <x:c r="P155" s="18" t="n">
        <x:f>N155+O155</x:f>
        <x:v>298403</x:v>
      </x:c>
    </x:row>
    <x:row r="156" ht="24" customHeight="1">
      <x:c r="A156" s="7"/>
      <x:c r="B156" s="7"/>
      <x:c r="C156" s="3" t="s">
        <x:v>20</x:v>
      </x:c>
      <x:c r="D156" s="3" t="s">
        <x:v>22</x:v>
      </x:c>
      <x:c r="E156" s="7"/>
      <x:c r="F156" s="4">
        <x:v>11.6875</x:v>
      </x:c>
      <x:c r="G156" s="19" t="n">
        <x:v>9003</x:v>
      </x:c>
      <x:c r="H156" s="20"/>
      <x:c r="I156" s="20"/>
      <x:c r="J156" s="20"/>
      <x:c r="K156" s="18" t="n">
        <x:f>ROUND(F156*G156,0)</x:f>
        <x:v>105223</x:v>
      </x:c>
      <x:c r="L156" s="18" t="n">
        <x:f>ROUND(H154*J154,0)</x:f>
        <x:v>209874</x:v>
      </x:c>
      <x:c r="M156" s="18" t="n">
        <x:f>ROUND(F156*1850,0)</x:f>
        <x:v>21622</x:v>
      </x:c>
      <x:c r="N156" s="18" t="n">
        <x:f>SUM(K156:M156)</x:f>
        <x:v>336719</x:v>
      </x:c>
      <x:c r="O156" s="18" t="n">
        <x:f>ROUND(N156*3%,0)</x:f>
        <x:v>10102</x:v>
      </x:c>
      <x:c r="P156" s="18" t="n">
        <x:f>N156+O156</x:f>
        <x:v>346821</x:v>
      </x:c>
    </x:row>
    <x:row r="157" ht="24" customHeight="1">
      <x:c r="A157" s="9"/>
      <x:c r="B157" s="9"/>
      <x:c r="C157" s="3" t="s">
        <x:v>20</x:v>
      </x:c>
      <x:c r="D157" s="3" t="s">
        <x:v>23</x:v>
      </x:c>
      <x:c r="E157" s="9"/>
      <x:c r="F157" s="4">
        <x:v>13.75</x:v>
      </x:c>
      <x:c r="G157" s="21" t="n">
        <x:v>11576</x:v>
      </x:c>
      <x:c r="H157" s="22"/>
      <x:c r="I157" s="22"/>
      <x:c r="J157" s="22"/>
      <x:c r="K157" s="18" t="n">
        <x:f>ROUND(F157*G157,0)</x:f>
        <x:v>159170</x:v>
      </x:c>
      <x:c r="L157" s="18" t="n">
        <x:f>ROUND(H154*J154,0)</x:f>
        <x:v>209874</x:v>
      </x:c>
      <x:c r="M157" s="18" t="n">
        <x:f>ROUND(F157*1850,0)</x:f>
        <x:v>25438</x:v>
      </x:c>
      <x:c r="N157" s="18" t="n">
        <x:f>SUM(K157:M157)</x:f>
        <x:v>394482</x:v>
      </x:c>
      <x:c r="O157" s="18" t="n">
        <x:f>ROUND(N157*3%,0)</x:f>
        <x:v>11834</x:v>
      </x:c>
      <x:c r="P157" s="18" t="n">
        <x:f>N157+O157</x:f>
        <x:v>406316</x:v>
      </x:c>
    </x:row>
    <x:row r="158" ht="24" customHeight="1">
      <x:c r="A158" s="2"/>
      <x:c r="B158" s="3" t="s">
        <x:v>62</x:v>
      </x:c>
      <x:c r="C158" s="3" t="s">
        <x:v>17</x:v>
      </x:c>
      <x:c r="D158" s="3" t="s">
        <x:v>18</x:v>
      </x:c>
      <x:c r="E158" s="3" t="s">
        <x:v>19</x:v>
      </x:c>
      <x:c r="F158" s="4">
        <x:v>0.27200000000000002</x:v>
      </x:c>
      <x:c r="G158" s="16" t="n">
        <x:v>250</x:v>
      </x:c>
      <x:c r="H158" s="16">
        <x:v>0.31</x:v>
      </x:c>
      <x:c r="I158" s="17">
        <x:v>1</x:v>
      </x:c>
      <x:c r="J158" s="16" t="n">
        <x:v>42000</x:v>
      </x:c>
      <x:c r="K158" s="18" t="n">
        <x:f>ROUND(F158*G158,0)</x:f>
        <x:v>68</x:v>
      </x:c>
      <x:c r="L158" s="18" t="n">
        <x:f>ROUND(H158*J158,0)</x:f>
        <x:v>13020</x:v>
      </x:c>
      <x:c r="M158" s="18" t="n">
        <x:f>ROUND(F158*1850,0)</x:f>
        <x:v>503</x:v>
      </x:c>
      <x:c r="N158" s="18" t="n">
        <x:f>SUM(K158:M158)</x:f>
        <x:v>13591</x:v>
      </x:c>
      <x:c r="O158" s="18" t="n">
        <x:f>ROUND(N158*3%,0)</x:f>
        <x:v>408</x:v>
      </x:c>
      <x:c r="P158" s="18" t="n">
        <x:f>N158+O158</x:f>
        <x:v>13999</x:v>
      </x:c>
    </x:row>
    <x:row r="159" ht="24" customHeight="1">
      <x:c r="A159" s="7"/>
      <x:c r="B159" s="7"/>
      <x:c r="C159" s="3" t="s">
        <x:v>20</x:v>
      </x:c>
      <x:c r="D159" s="3" t="s">
        <x:v>21</x:v>
      </x:c>
      <x:c r="E159" s="7"/>
      <x:c r="F159" s="4">
        <x:v>0.30399999999999999</x:v>
      </x:c>
      <x:c r="G159" s="19" t="n">
        <x:v>5790</x:v>
      </x:c>
      <x:c r="H159" s="20"/>
      <x:c r="I159" s="20"/>
      <x:c r="J159" s="20"/>
      <x:c r="K159" s="18" t="n">
        <x:f>ROUND(F159*G159,0)</x:f>
        <x:v>1760</x:v>
      </x:c>
      <x:c r="L159" s="18" t="n">
        <x:f>ROUND(H158*J158,0)</x:f>
        <x:v>13020</x:v>
      </x:c>
      <x:c r="M159" s="18" t="n">
        <x:f>ROUND(F159*1850,0)</x:f>
        <x:v>562</x:v>
      </x:c>
      <x:c r="N159" s="18" t="n">
        <x:f>SUM(K159:M159)</x:f>
        <x:v>15342</x:v>
      </x:c>
      <x:c r="O159" s="18" t="n">
        <x:f>ROUND(N159*3%,0)</x:f>
        <x:v>460</x:v>
      </x:c>
      <x:c r="P159" s="18" t="n">
        <x:f>N159+O159</x:f>
        <x:v>15802</x:v>
      </x:c>
    </x:row>
    <x:row r="160" ht="24" customHeight="1">
      <x:c r="A160" s="7"/>
      <x:c r="B160" s="7"/>
      <x:c r="C160" s="3" t="s">
        <x:v>20</x:v>
      </x:c>
      <x:c r="D160" s="3" t="s">
        <x:v>22</x:v>
      </x:c>
      <x:c r="E160" s="7"/>
      <x:c r="F160" s="4">
        <x:v>0.34</x:v>
      </x:c>
      <x:c r="G160" s="19" t="n">
        <x:v>9003</x:v>
      </x:c>
      <x:c r="H160" s="20"/>
      <x:c r="I160" s="20"/>
      <x:c r="J160" s="20"/>
      <x:c r="K160" s="18" t="n">
        <x:f>ROUND(F160*G160,0)</x:f>
        <x:v>3061</x:v>
      </x:c>
      <x:c r="L160" s="18" t="n">
        <x:f>ROUND(H158*J158,0)</x:f>
        <x:v>13020</x:v>
      </x:c>
      <x:c r="M160" s="18" t="n">
        <x:f>ROUND(F160*1850,0)</x:f>
        <x:v>629</x:v>
      </x:c>
      <x:c r="N160" s="18" t="n">
        <x:f>SUM(K160:M160)</x:f>
        <x:v>16710</x:v>
      </x:c>
      <x:c r="O160" s="18" t="n">
        <x:f>ROUND(N160*3%,0)</x:f>
        <x:v>501</x:v>
      </x:c>
      <x:c r="P160" s="18" t="n">
        <x:f>N160+O160</x:f>
        <x:v>17211</x:v>
      </x:c>
    </x:row>
    <x:row r="161" ht="24" customHeight="1">
      <x:c r="A161" s="9"/>
      <x:c r="B161" s="9"/>
      <x:c r="C161" s="3" t="s">
        <x:v>20</x:v>
      </x:c>
      <x:c r="D161" s="3" t="s">
        <x:v>23</x:v>
      </x:c>
      <x:c r="E161" s="9"/>
      <x:c r="F161" s="4">
        <x:v>0.4</x:v>
      </x:c>
      <x:c r="G161" s="21" t="n">
        <x:v>11576</x:v>
      </x:c>
      <x:c r="H161" s="22"/>
      <x:c r="I161" s="22"/>
      <x:c r="J161" s="22"/>
      <x:c r="K161" s="18" t="n">
        <x:f>ROUND(F161*G161,0)</x:f>
        <x:v>4630</x:v>
      </x:c>
      <x:c r="L161" s="18" t="n">
        <x:f>ROUND(H158*J158,0)</x:f>
        <x:v>13020</x:v>
      </x:c>
      <x:c r="M161" s="18" t="n">
        <x:f>ROUND(F161*1850,0)</x:f>
        <x:v>740</x:v>
      </x:c>
      <x:c r="N161" s="18" t="n">
        <x:f>SUM(K161:M161)</x:f>
        <x:v>18390</x:v>
      </x:c>
      <x:c r="O161" s="18" t="n">
        <x:f>ROUND(N161*3%,0)</x:f>
        <x:v>552</x:v>
      </x:c>
      <x:c r="P161" s="18" t="n">
        <x:f>N161+O161</x:f>
        <x:v>18942</x:v>
      </x:c>
    </x:row>
    <x:row r="162" ht="24" customHeight="1">
      <x:c r="A162" s="2"/>
      <x:c r="B162" s="3" t="s">
        <x:v>63</x:v>
      </x:c>
      <x:c r="C162" s="3" t="s">
        <x:v>17</x:v>
      </x:c>
      <x:c r="D162" s="3" t="s">
        <x:v>18</x:v>
      </x:c>
      <x:c r="E162" s="3" t="s">
        <x:v>19</x:v>
      </x:c>
      <x:c r="F162" s="4">
        <x:v>3.4000000000000002E-2</x:v>
      </x:c>
      <x:c r="G162" s="16" t="n">
        <x:v>250</x:v>
      </x:c>
      <x:c r="H162" s="16">
        <x:v>0.74</x:v>
      </x:c>
      <x:c r="I162" s="17">
        <x:v>1</x:v>
      </x:c>
      <x:c r="J162" s="16" t="n">
        <x:v>42000</x:v>
      </x:c>
      <x:c r="K162" s="18" t="n">
        <x:f>ROUND(F162*G162,0)</x:f>
        <x:v>9</x:v>
      </x:c>
      <x:c r="L162" s="18" t="n">
        <x:f>ROUND(H162*J162,0)</x:f>
        <x:v>31080</x:v>
      </x:c>
      <x:c r="M162" s="18" t="n">
        <x:f>ROUND(F162*1850,0)</x:f>
        <x:v>63</x:v>
      </x:c>
      <x:c r="N162" s="18" t="n">
        <x:f>SUM(K162:M162)</x:f>
        <x:v>31152</x:v>
      </x:c>
      <x:c r="O162" s="18" t="n">
        <x:f>ROUND(N162*3%,0)</x:f>
        <x:v>935</x:v>
      </x:c>
      <x:c r="P162" s="18" t="n">
        <x:f>N162+O162</x:f>
        <x:v>32087</x:v>
      </x:c>
    </x:row>
    <x:row r="163" ht="24" customHeight="1">
      <x:c r="A163" s="7"/>
      <x:c r="B163" s="7"/>
      <x:c r="C163" s="3" t="s">
        <x:v>20</x:v>
      </x:c>
      <x:c r="D163" s="3" t="s">
        <x:v>21</x:v>
      </x:c>
      <x:c r="E163" s="7"/>
      <x:c r="F163" s="4">
        <x:v>3.7999999999999999E-2</x:v>
      </x:c>
      <x:c r="G163" s="19" t="n">
        <x:v>5790</x:v>
      </x:c>
      <x:c r="H163" s="20"/>
      <x:c r="I163" s="20"/>
      <x:c r="J163" s="20"/>
      <x:c r="K163" s="18" t="n">
        <x:f>ROUND(F163*G163,0)</x:f>
        <x:v>220</x:v>
      </x:c>
      <x:c r="L163" s="18" t="n">
        <x:f>ROUND(H162*J162,0)</x:f>
        <x:v>31080</x:v>
      </x:c>
      <x:c r="M163" s="18" t="n">
        <x:f>ROUND(F163*1850,0)</x:f>
        <x:v>70</x:v>
      </x:c>
      <x:c r="N163" s="18" t="n">
        <x:f>SUM(K163:M163)</x:f>
        <x:v>31370</x:v>
      </x:c>
      <x:c r="O163" s="18" t="n">
        <x:f>ROUND(N163*3%,0)</x:f>
        <x:v>941</x:v>
      </x:c>
      <x:c r="P163" s="18" t="n">
        <x:f>N163+O163</x:f>
        <x:v>32311</x:v>
      </x:c>
    </x:row>
    <x:row r="164" ht="24" customHeight="1">
      <x:c r="A164" s="7"/>
      <x:c r="B164" s="7"/>
      <x:c r="C164" s="3" t="s">
        <x:v>20</x:v>
      </x:c>
      <x:c r="D164" s="3" t="s">
        <x:v>22</x:v>
      </x:c>
      <x:c r="E164" s="7"/>
      <x:c r="F164" s="4">
        <x:v>4.2500000000000003E-2</x:v>
      </x:c>
      <x:c r="G164" s="19" t="n">
        <x:v>9003</x:v>
      </x:c>
      <x:c r="H164" s="20"/>
      <x:c r="I164" s="20"/>
      <x:c r="J164" s="20"/>
      <x:c r="K164" s="18" t="n">
        <x:f>ROUND(F164*G164,0)</x:f>
        <x:v>383</x:v>
      </x:c>
      <x:c r="L164" s="18" t="n">
        <x:f>ROUND(H162*J162,0)</x:f>
        <x:v>31080</x:v>
      </x:c>
      <x:c r="M164" s="18" t="n">
        <x:f>ROUND(F164*1850,0)</x:f>
        <x:v>79</x:v>
      </x:c>
      <x:c r="N164" s="18" t="n">
        <x:f>SUM(K164:M164)</x:f>
        <x:v>31542</x:v>
      </x:c>
      <x:c r="O164" s="18" t="n">
        <x:f>ROUND(N164*3%,0)</x:f>
        <x:v>946</x:v>
      </x:c>
      <x:c r="P164" s="18" t="n">
        <x:f>N164+O164</x:f>
        <x:v>32488</x:v>
      </x:c>
    </x:row>
    <x:row r="165" ht="24" customHeight="1">
      <x:c r="A165" s="9"/>
      <x:c r="B165" s="9"/>
      <x:c r="C165" s="3" t="s">
        <x:v>20</x:v>
      </x:c>
      <x:c r="D165" s="3" t="s">
        <x:v>23</x:v>
      </x:c>
      <x:c r="E165" s="9"/>
      <x:c r="F165" s="4">
        <x:v>0.05</x:v>
      </x:c>
      <x:c r="G165" s="21" t="n">
        <x:v>11576</x:v>
      </x:c>
      <x:c r="H165" s="22"/>
      <x:c r="I165" s="22"/>
      <x:c r="J165" s="22"/>
      <x:c r="K165" s="18" t="n">
        <x:f>ROUND(F165*G165,0)</x:f>
        <x:v>579</x:v>
      </x:c>
      <x:c r="L165" s="18" t="n">
        <x:f>ROUND(H162*J162,0)</x:f>
        <x:v>31080</x:v>
      </x:c>
      <x:c r="M165" s="18" t="n">
        <x:f>ROUND(F165*1850,0)</x:f>
        <x:v>93</x:v>
      </x:c>
      <x:c r="N165" s="18" t="n">
        <x:f>SUM(K165:M165)</x:f>
        <x:v>31752</x:v>
      </x:c>
      <x:c r="O165" s="18" t="n">
        <x:f>ROUND(N165*3%,0)</x:f>
        <x:v>953</x:v>
      </x:c>
      <x:c r="P165" s="18" t="n">
        <x:f>N165+O165</x:f>
        <x:v>32705</x:v>
      </x:c>
    </x:row>
    <x:row r="166" ht="24" customHeight="1">
      <x:c r="A166" s="2"/>
      <x:c r="B166" s="3" t="s">
        <x:v>64</x:v>
      </x:c>
      <x:c r="C166" s="3" t="s">
        <x:v>17</x:v>
      </x:c>
      <x:c r="D166" s="3" t="s">
        <x:v>18</x:v>
      </x:c>
      <x:c r="E166" s="3" t="s">
        <x:v>19</x:v>
      </x:c>
      <x:c r="F166" s="4">
        <x:v>1.8360000000000001</x:v>
      </x:c>
      <x:c r="G166" s="16" t="n">
        <x:v>250</x:v>
      </x:c>
      <x:c r="H166" s="16">
        <x:v>0.98</x:v>
      </x:c>
      <x:c r="I166" s="17">
        <x:v>2</x:v>
      </x:c>
      <x:c r="J166" s="16" t="n">
        <x:v>42000</x:v>
      </x:c>
      <x:c r="K166" s="18" t="n">
        <x:f>ROUND(F166*G166,0)</x:f>
        <x:v>459</x:v>
      </x:c>
      <x:c r="L166" s="18" t="n">
        <x:f>ROUND(H166*J166,0)</x:f>
        <x:v>41160</x:v>
      </x:c>
      <x:c r="M166" s="18" t="n">
        <x:f>ROUND(F166*1850,0)</x:f>
        <x:v>3397</x:v>
      </x:c>
      <x:c r="N166" s="18" t="n">
        <x:f>SUM(K166:M166)</x:f>
        <x:v>45016</x:v>
      </x:c>
      <x:c r="O166" s="18" t="n">
        <x:f>ROUND(N166*3%,0)</x:f>
        <x:v>1350</x:v>
      </x:c>
      <x:c r="P166" s="18" t="n">
        <x:f>N166+O166</x:f>
        <x:v>46366</x:v>
      </x:c>
    </x:row>
    <x:row r="167" ht="24" customHeight="1">
      <x:c r="A167" s="7"/>
      <x:c r="B167" s="7"/>
      <x:c r="C167" s="3" t="s">
        <x:v>20</x:v>
      </x:c>
      <x:c r="D167" s="3" t="s">
        <x:v>21</x:v>
      </x:c>
      <x:c r="E167" s="7"/>
      <x:c r="F167" s="4">
        <x:v>2.052</x:v>
      </x:c>
      <x:c r="G167" s="19" t="n">
        <x:v>5790</x:v>
      </x:c>
      <x:c r="H167" s="20"/>
      <x:c r="I167" s="20"/>
      <x:c r="J167" s="20"/>
      <x:c r="K167" s="18" t="n">
        <x:f>ROUND(F167*G167,0)</x:f>
        <x:v>11881</x:v>
      </x:c>
      <x:c r="L167" s="18" t="n">
        <x:f>ROUND(H166*J166,0)</x:f>
        <x:v>41160</x:v>
      </x:c>
      <x:c r="M167" s="18" t="n">
        <x:f>ROUND(F167*1850,0)</x:f>
        <x:v>3796</x:v>
      </x:c>
      <x:c r="N167" s="18" t="n">
        <x:f>SUM(K167:M167)</x:f>
        <x:v>56837</x:v>
      </x:c>
      <x:c r="O167" s="18" t="n">
        <x:f>ROUND(N167*3%,0)</x:f>
        <x:v>1705</x:v>
      </x:c>
      <x:c r="P167" s="18" t="n">
        <x:f>N167+O167</x:f>
        <x:v>58542</x:v>
      </x:c>
    </x:row>
    <x:row r="168" ht="24" customHeight="1">
      <x:c r="A168" s="7"/>
      <x:c r="B168" s="7"/>
      <x:c r="C168" s="3" t="s">
        <x:v>20</x:v>
      </x:c>
      <x:c r="D168" s="3" t="s">
        <x:v>22</x:v>
      </x:c>
      <x:c r="E168" s="7"/>
      <x:c r="F168" s="4">
        <x:v>2.2949999999999999</x:v>
      </x:c>
      <x:c r="G168" s="19" t="n">
        <x:v>9003</x:v>
      </x:c>
      <x:c r="H168" s="20"/>
      <x:c r="I168" s="20"/>
      <x:c r="J168" s="20"/>
      <x:c r="K168" s="18" t="n">
        <x:f>ROUND(F168*G168,0)</x:f>
        <x:v>20662</x:v>
      </x:c>
      <x:c r="L168" s="18" t="n">
        <x:f>ROUND(H166*J166,0)</x:f>
        <x:v>41160</x:v>
      </x:c>
      <x:c r="M168" s="18" t="n">
        <x:f>ROUND(F168*1850,0)</x:f>
        <x:v>4246</x:v>
      </x:c>
      <x:c r="N168" s="18" t="n">
        <x:f>SUM(K168:M168)</x:f>
        <x:v>66068</x:v>
      </x:c>
      <x:c r="O168" s="18" t="n">
        <x:f>ROUND(N168*3%,0)</x:f>
        <x:v>1982</x:v>
      </x:c>
      <x:c r="P168" s="18" t="n">
        <x:f>N168+O168</x:f>
        <x:v>68050</x:v>
      </x:c>
    </x:row>
    <x:row r="169" ht="24" customHeight="1">
      <x:c r="A169" s="9"/>
      <x:c r="B169" s="9"/>
      <x:c r="C169" s="3" t="s">
        <x:v>20</x:v>
      </x:c>
      <x:c r="D169" s="3" t="s">
        <x:v>23</x:v>
      </x:c>
      <x:c r="E169" s="9"/>
      <x:c r="F169" s="4">
        <x:v>2.7</x:v>
      </x:c>
      <x:c r="G169" s="21" t="n">
        <x:v>11576</x:v>
      </x:c>
      <x:c r="H169" s="22"/>
      <x:c r="I169" s="22"/>
      <x:c r="J169" s="22"/>
      <x:c r="K169" s="18" t="n">
        <x:f>ROUND(F169*G169,0)</x:f>
        <x:v>31255</x:v>
      </x:c>
      <x:c r="L169" s="18" t="n">
        <x:f>ROUND(H166*J166,0)</x:f>
        <x:v>41160</x:v>
      </x:c>
      <x:c r="M169" s="18" t="n">
        <x:f>ROUND(F169*1850,0)</x:f>
        <x:v>4995</x:v>
      </x:c>
      <x:c r="N169" s="18" t="n">
        <x:f>SUM(K169:M169)</x:f>
        <x:v>77410</x:v>
      </x:c>
      <x:c r="O169" s="18" t="n">
        <x:f>ROUND(N169*3%,0)</x:f>
        <x:v>2322</x:v>
      </x:c>
      <x:c r="P169" s="18" t="n">
        <x:f>N169+O169</x:f>
        <x:v>79732</x:v>
      </x:c>
    </x:row>
    <x:row r="170" ht="24" customHeight="1">
      <x:c r="A170" s="2"/>
      <x:c r="B170" s="3" t="s">
        <x:v>65</x:v>
      </x:c>
      <x:c r="C170" s="3" t="s">
        <x:v>17</x:v>
      </x:c>
      <x:c r="D170" s="3" t="s">
        <x:v>18</x:v>
      </x:c>
      <x:c r="E170" s="3" t="s">
        <x:v>19</x:v>
      </x:c>
      <x:c r="F170" s="4">
        <x:v>1.054</x:v>
      </x:c>
      <x:c r="G170" s="16" t="n">
        <x:v>250</x:v>
      </x:c>
      <x:c r="H170" s="16">
        <x:v>0.6</x:v>
      </x:c>
      <x:c r="I170" s="17">
        <x:v>99</x:v>
      </x:c>
      <x:c r="J170" s="16" t="n">
        <x:v>42000</x:v>
      </x:c>
      <x:c r="K170" s="18" t="n">
        <x:f>ROUND(F170*G170,0)</x:f>
        <x:v>264</x:v>
      </x:c>
      <x:c r="L170" s="18" t="n">
        <x:f>ROUND(H170*J170,0)</x:f>
        <x:v>25200</x:v>
      </x:c>
      <x:c r="M170" s="18" t="n">
        <x:f>ROUND(F170*1850,0)</x:f>
        <x:v>1950</x:v>
      </x:c>
      <x:c r="N170" s="18" t="n">
        <x:f>SUM(K170:M170)</x:f>
        <x:v>27414</x:v>
      </x:c>
      <x:c r="O170" s="18" t="n">
        <x:f>ROUND(N170*3%,0)</x:f>
        <x:v>822</x:v>
      </x:c>
      <x:c r="P170" s="18" t="n">
        <x:f>N170+O170</x:f>
        <x:v>28236</x:v>
      </x:c>
    </x:row>
    <x:row r="171" ht="24" customHeight="1">
      <x:c r="A171" s="7"/>
      <x:c r="B171" s="7"/>
      <x:c r="C171" s="3" t="s">
        <x:v>20</x:v>
      </x:c>
      <x:c r="D171" s="3" t="s">
        <x:v>21</x:v>
      </x:c>
      <x:c r="E171" s="7"/>
      <x:c r="F171" s="4">
        <x:v>1.1779999999999999</x:v>
      </x:c>
      <x:c r="G171" s="19" t="n">
        <x:v>5790</x:v>
      </x:c>
      <x:c r="H171" s="20"/>
      <x:c r="I171" s="20"/>
      <x:c r="J171" s="20"/>
      <x:c r="K171" s="18" t="n">
        <x:f>ROUND(F171*G171,0)</x:f>
        <x:v>6821</x:v>
      </x:c>
      <x:c r="L171" s="18" t="n">
        <x:f>ROUND(H170*J170,0)</x:f>
        <x:v>25200</x:v>
      </x:c>
      <x:c r="M171" s="18" t="n">
        <x:f>ROUND(F171*1850,0)</x:f>
        <x:v>2179</x:v>
      </x:c>
      <x:c r="N171" s="18" t="n">
        <x:f>SUM(K171:M171)</x:f>
        <x:v>34200</x:v>
      </x:c>
      <x:c r="O171" s="18" t="n">
        <x:f>ROUND(N171*3%,0)</x:f>
        <x:v>1026</x:v>
      </x:c>
      <x:c r="P171" s="18" t="n">
        <x:f>N171+O171</x:f>
        <x:v>35226</x:v>
      </x:c>
    </x:row>
    <x:row r="172" ht="24" customHeight="1">
      <x:c r="A172" s="7"/>
      <x:c r="B172" s="7"/>
      <x:c r="C172" s="3" t="s">
        <x:v>20</x:v>
      </x:c>
      <x:c r="D172" s="3" t="s">
        <x:v>22</x:v>
      </x:c>
      <x:c r="E172" s="7"/>
      <x:c r="F172" s="4">
        <x:v>1.3174999999999999</x:v>
      </x:c>
      <x:c r="G172" s="19" t="n">
        <x:v>9003</x:v>
      </x:c>
      <x:c r="H172" s="20"/>
      <x:c r="I172" s="20"/>
      <x:c r="J172" s="20"/>
      <x:c r="K172" s="18" t="n">
        <x:f>ROUND(F172*G172,0)</x:f>
        <x:v>11861</x:v>
      </x:c>
      <x:c r="L172" s="18" t="n">
        <x:f>ROUND(H170*J170,0)</x:f>
        <x:v>25200</x:v>
      </x:c>
      <x:c r="M172" s="18" t="n">
        <x:f>ROUND(F172*1850,0)</x:f>
        <x:v>2437</x:v>
      </x:c>
      <x:c r="N172" s="18" t="n">
        <x:f>SUM(K172:M172)</x:f>
        <x:v>39498</x:v>
      </x:c>
      <x:c r="O172" s="18" t="n">
        <x:f>ROUND(N172*3%,0)</x:f>
        <x:v>1185</x:v>
      </x:c>
      <x:c r="P172" s="18" t="n">
        <x:f>N172+O172</x:f>
        <x:v>40683</x:v>
      </x:c>
    </x:row>
    <x:row r="173" ht="24" customHeight="1">
      <x:c r="A173" s="9"/>
      <x:c r="B173" s="9"/>
      <x:c r="C173" s="3" t="s">
        <x:v>20</x:v>
      </x:c>
      <x:c r="D173" s="3" t="s">
        <x:v>23</x:v>
      </x:c>
      <x:c r="E173" s="9"/>
      <x:c r="F173" s="4">
        <x:v>1.55</x:v>
      </x:c>
      <x:c r="G173" s="21" t="n">
        <x:v>11576</x:v>
      </x:c>
      <x:c r="H173" s="22"/>
      <x:c r="I173" s="22"/>
      <x:c r="J173" s="22"/>
      <x:c r="K173" s="18" t="n">
        <x:f>ROUND(F173*G173,0)</x:f>
        <x:v>17943</x:v>
      </x:c>
      <x:c r="L173" s="18" t="n">
        <x:f>ROUND(H170*J170,0)</x:f>
        <x:v>25200</x:v>
      </x:c>
      <x:c r="M173" s="18" t="n">
        <x:f>ROUND(F173*1850,0)</x:f>
        <x:v>2868</x:v>
      </x:c>
      <x:c r="N173" s="18" t="n">
        <x:f>SUM(K173:M173)</x:f>
        <x:v>46011</x:v>
      </x:c>
      <x:c r="O173" s="18" t="n">
        <x:f>ROUND(N173*3%,0)</x:f>
        <x:v>1380</x:v>
      </x:c>
      <x:c r="P173" s="18" t="n">
        <x:f>N173+O173</x:f>
        <x:v>47391</x:v>
      </x:c>
    </x:row>
    <x:row r="174" ht="24" customHeight="1">
      <x:c r="A174" s="2"/>
      <x:c r="B174" s="3" t="s">
        <x:v>66</x:v>
      </x:c>
      <x:c r="C174" s="3" t="s">
        <x:v>17</x:v>
      </x:c>
      <x:c r="D174" s="3" t="s">
        <x:v>18</x:v>
      </x:c>
      <x:c r="E174" s="3" t="s">
        <x:v>19</x:v>
      </x:c>
      <x:c r="F174" s="4">
        <x:v>0.54400000000000004</x:v>
      </x:c>
      <x:c r="G174" s="16" t="n">
        <x:v>250</x:v>
      </x:c>
      <x:c r="H174" s="16">
        <x:v>0.20499999999999999</x:v>
      </x:c>
      <x:c r="I174" s="17">
        <x:v>14</x:v>
      </x:c>
      <x:c r="J174" s="16" t="n">
        <x:v>42000</x:v>
      </x:c>
      <x:c r="K174" s="18" t="n">
        <x:f>ROUND(F174*G174,0)</x:f>
        <x:v>136</x:v>
      </x:c>
      <x:c r="L174" s="18" t="n">
        <x:f>ROUND(H174*J174,0)</x:f>
        <x:v>8610</x:v>
      </x:c>
      <x:c r="M174" s="18" t="n">
        <x:f>ROUND(F174*1850,0)</x:f>
        <x:v>1006</x:v>
      </x:c>
      <x:c r="N174" s="18" t="n">
        <x:f>SUM(K174:M174)</x:f>
        <x:v>9752</x:v>
      </x:c>
      <x:c r="O174" s="18" t="n">
        <x:f>ROUND(N174*3%,0)</x:f>
        <x:v>293</x:v>
      </x:c>
      <x:c r="P174" s="18" t="n">
        <x:f>N174+O174</x:f>
        <x:v>10045</x:v>
      </x:c>
    </x:row>
    <x:row r="175" ht="24" customHeight="1">
      <x:c r="A175" s="7"/>
      <x:c r="B175" s="7"/>
      <x:c r="C175" s="3" t="s">
        <x:v>20</x:v>
      </x:c>
      <x:c r="D175" s="3" t="s">
        <x:v>21</x:v>
      </x:c>
      <x:c r="E175" s="7"/>
      <x:c r="F175" s="4">
        <x:v>0.60799999999999998</x:v>
      </x:c>
      <x:c r="G175" s="19" t="n">
        <x:v>5790</x:v>
      </x:c>
      <x:c r="H175" s="20"/>
      <x:c r="I175" s="20"/>
      <x:c r="J175" s="20"/>
      <x:c r="K175" s="18" t="n">
        <x:f>ROUND(F175*G175,0)</x:f>
        <x:v>3520</x:v>
      </x:c>
      <x:c r="L175" s="18" t="n">
        <x:f>ROUND(H174*J174,0)</x:f>
        <x:v>8610</x:v>
      </x:c>
      <x:c r="M175" s="18" t="n">
        <x:f>ROUND(F175*1850,0)</x:f>
        <x:v>1125</x:v>
      </x:c>
      <x:c r="N175" s="18" t="n">
        <x:f>SUM(K175:M175)</x:f>
        <x:v>13255</x:v>
      </x:c>
      <x:c r="O175" s="18" t="n">
        <x:f>ROUND(N175*3%,0)</x:f>
        <x:v>398</x:v>
      </x:c>
      <x:c r="P175" s="18" t="n">
        <x:f>N175+O175</x:f>
        <x:v>13653</x:v>
      </x:c>
    </x:row>
    <x:row r="176" ht="24" customHeight="1">
      <x:c r="A176" s="7"/>
      <x:c r="B176" s="7"/>
      <x:c r="C176" s="3" t="s">
        <x:v>20</x:v>
      </x:c>
      <x:c r="D176" s="3" t="s">
        <x:v>22</x:v>
      </x:c>
      <x:c r="E176" s="7"/>
      <x:c r="F176" s="4">
        <x:v>0.68</x:v>
      </x:c>
      <x:c r="G176" s="19" t="n">
        <x:v>9003</x:v>
      </x:c>
      <x:c r="H176" s="20"/>
      <x:c r="I176" s="20"/>
      <x:c r="J176" s="20"/>
      <x:c r="K176" s="18" t="n">
        <x:f>ROUND(F176*G176,0)</x:f>
        <x:v>6122</x:v>
      </x:c>
      <x:c r="L176" s="18" t="n">
        <x:f>ROUND(H174*J174,0)</x:f>
        <x:v>8610</x:v>
      </x:c>
      <x:c r="M176" s="18" t="n">
        <x:f>ROUND(F176*1850,0)</x:f>
        <x:v>1258</x:v>
      </x:c>
      <x:c r="N176" s="18" t="n">
        <x:f>SUM(K176:M176)</x:f>
        <x:v>15990</x:v>
      </x:c>
      <x:c r="O176" s="18" t="n">
        <x:f>ROUND(N176*3%,0)</x:f>
        <x:v>480</x:v>
      </x:c>
      <x:c r="P176" s="18" t="n">
        <x:f>N176+O176</x:f>
        <x:v>16470</x:v>
      </x:c>
    </x:row>
    <x:row r="177" ht="24" customHeight="1">
      <x:c r="A177" s="9"/>
      <x:c r="B177" s="9"/>
      <x:c r="C177" s="3" t="s">
        <x:v>20</x:v>
      </x:c>
      <x:c r="D177" s="3" t="s">
        <x:v>23</x:v>
      </x:c>
      <x:c r="E177" s="9"/>
      <x:c r="F177" s="4">
        <x:v>0.8</x:v>
      </x:c>
      <x:c r="G177" s="21" t="n">
        <x:v>11576</x:v>
      </x:c>
      <x:c r="H177" s="22"/>
      <x:c r="I177" s="22"/>
      <x:c r="J177" s="22"/>
      <x:c r="K177" s="18" t="n">
        <x:f>ROUND(F177*G177,0)</x:f>
        <x:v>9261</x:v>
      </x:c>
      <x:c r="L177" s="18" t="n">
        <x:f>ROUND(H174*J174,0)</x:f>
        <x:v>8610</x:v>
      </x:c>
      <x:c r="M177" s="18" t="n">
        <x:f>ROUND(F177*1850,0)</x:f>
        <x:v>1480</x:v>
      </x:c>
      <x:c r="N177" s="18" t="n">
        <x:f>SUM(K177:M177)</x:f>
        <x:v>19351</x:v>
      </x:c>
      <x:c r="O177" s="18" t="n">
        <x:f>ROUND(N177*3%,0)</x:f>
        <x:v>581</x:v>
      </x:c>
      <x:c r="P177" s="18" t="n">
        <x:f>N177+O177</x:f>
        <x:v>19932</x:v>
      </x:c>
    </x:row>
    <x:row r="178" ht="24" customHeight="1">
      <x:c r="A178" s="2"/>
      <x:c r="B178" s="3" t="s">
        <x:v>67</x:v>
      </x:c>
      <x:c r="C178" s="3" t="s">
        <x:v>17</x:v>
      </x:c>
      <x:c r="D178" s="3" t="s">
        <x:v>18</x:v>
      </x:c>
      <x:c r="E178" s="3" t="s">
        <x:v>19</x:v>
      </x:c>
      <x:c r="F178" s="4">
        <x:v>0.98599999999999999</x:v>
      </x:c>
      <x:c r="G178" s="16" t="n">
        <x:v>250</x:v>
      </x:c>
      <x:c r="H178" s="16">
        <x:v>0.36</x:v>
      </x:c>
      <x:c r="I178" s="17">
        <x:v>3</x:v>
      </x:c>
      <x:c r="J178" s="16" t="n">
        <x:v>42000</x:v>
      </x:c>
      <x:c r="K178" s="18" t="n">
        <x:f>ROUND(F178*G178,0)</x:f>
        <x:v>247</x:v>
      </x:c>
      <x:c r="L178" s="18" t="n">
        <x:f>ROUND(H178*J178,0)</x:f>
        <x:v>15120</x:v>
      </x:c>
      <x:c r="M178" s="18" t="n">
        <x:f>ROUND(F178*1850,0)</x:f>
        <x:v>1824</x:v>
      </x:c>
      <x:c r="N178" s="18" t="n">
        <x:f>SUM(K178:M178)</x:f>
        <x:v>17191</x:v>
      </x:c>
      <x:c r="O178" s="18" t="n">
        <x:f>ROUND(N178*3%,0)</x:f>
        <x:v>516</x:v>
      </x:c>
      <x:c r="P178" s="18" t="n">
        <x:f>N178+O178</x:f>
        <x:v>17707</x:v>
      </x:c>
    </x:row>
    <x:row r="179" ht="24" customHeight="1">
      <x:c r="A179" s="7"/>
      <x:c r="B179" s="7"/>
      <x:c r="C179" s="3" t="s">
        <x:v>20</x:v>
      </x:c>
      <x:c r="D179" s="3" t="s">
        <x:v>21</x:v>
      </x:c>
      <x:c r="E179" s="7"/>
      <x:c r="F179" s="4">
        <x:v>1.1020000000000001</x:v>
      </x:c>
      <x:c r="G179" s="19" t="n">
        <x:v>5790</x:v>
      </x:c>
      <x:c r="H179" s="20"/>
      <x:c r="I179" s="20"/>
      <x:c r="J179" s="20"/>
      <x:c r="K179" s="18" t="n">
        <x:f>ROUND(F179*G179,0)</x:f>
        <x:v>6381</x:v>
      </x:c>
      <x:c r="L179" s="18" t="n">
        <x:f>ROUND(H178*J178,0)</x:f>
        <x:v>15120</x:v>
      </x:c>
      <x:c r="M179" s="18" t="n">
        <x:f>ROUND(F179*1850,0)</x:f>
        <x:v>2039</x:v>
      </x:c>
      <x:c r="N179" s="18" t="n">
        <x:f>SUM(K179:M179)</x:f>
        <x:v>23540</x:v>
      </x:c>
      <x:c r="O179" s="18" t="n">
        <x:f>ROUND(N179*3%,0)</x:f>
        <x:v>706</x:v>
      </x:c>
      <x:c r="P179" s="18" t="n">
        <x:f>N179+O179</x:f>
        <x:v>24246</x:v>
      </x:c>
    </x:row>
    <x:row r="180" ht="24" customHeight="1">
      <x:c r="A180" s="7"/>
      <x:c r="B180" s="7"/>
      <x:c r="C180" s="3" t="s">
        <x:v>20</x:v>
      </x:c>
      <x:c r="D180" s="3" t="s">
        <x:v>22</x:v>
      </x:c>
      <x:c r="E180" s="7"/>
      <x:c r="F180" s="4">
        <x:v>1.2324999999999999</x:v>
      </x:c>
      <x:c r="G180" s="19" t="n">
        <x:v>9003</x:v>
      </x:c>
      <x:c r="H180" s="20"/>
      <x:c r="I180" s="20"/>
      <x:c r="J180" s="20"/>
      <x:c r="K180" s="18" t="n">
        <x:f>ROUND(F180*G180,0)</x:f>
        <x:v>11096</x:v>
      </x:c>
      <x:c r="L180" s="18" t="n">
        <x:f>ROUND(H178*J178,0)</x:f>
        <x:v>15120</x:v>
      </x:c>
      <x:c r="M180" s="18" t="n">
        <x:f>ROUND(F180*1850,0)</x:f>
        <x:v>2280</x:v>
      </x:c>
      <x:c r="N180" s="18" t="n">
        <x:f>SUM(K180:M180)</x:f>
        <x:v>28496</x:v>
      </x:c>
      <x:c r="O180" s="18" t="n">
        <x:f>ROUND(N180*3%,0)</x:f>
        <x:v>855</x:v>
      </x:c>
      <x:c r="P180" s="18" t="n">
        <x:f>N180+O180</x:f>
        <x:v>29351</x:v>
      </x:c>
    </x:row>
    <x:row r="181" ht="24" customHeight="1">
      <x:c r="A181" s="9"/>
      <x:c r="B181" s="9"/>
      <x:c r="C181" s="3" t="s">
        <x:v>20</x:v>
      </x:c>
      <x:c r="D181" s="3" t="s">
        <x:v>23</x:v>
      </x:c>
      <x:c r="E181" s="9"/>
      <x:c r="F181" s="4">
        <x:v>1.45</x:v>
      </x:c>
      <x:c r="G181" s="21" t="n">
        <x:v>11576</x:v>
      </x:c>
      <x:c r="H181" s="22"/>
      <x:c r="I181" s="22"/>
      <x:c r="J181" s="22"/>
      <x:c r="K181" s="18" t="n">
        <x:f>ROUND(F181*G181,0)</x:f>
        <x:v>16785</x:v>
      </x:c>
      <x:c r="L181" s="18" t="n">
        <x:f>ROUND(H178*J178,0)</x:f>
        <x:v>15120</x:v>
      </x:c>
      <x:c r="M181" s="18" t="n">
        <x:f>ROUND(F181*1850,0)</x:f>
        <x:v>2683</x:v>
      </x:c>
      <x:c r="N181" s="18" t="n">
        <x:f>SUM(K181:M181)</x:f>
        <x:v>34588</x:v>
      </x:c>
      <x:c r="O181" s="18" t="n">
        <x:f>ROUND(N181*3%,0)</x:f>
        <x:v>1038</x:v>
      </x:c>
      <x:c r="P181" s="18" t="n">
        <x:f>N181+O181</x:f>
        <x:v>35626</x:v>
      </x:c>
    </x:row>
    <x:row r="182" ht="24" customHeight="1">
      <x:c r="A182" s="2"/>
      <x:c r="B182" s="3" t="s">
        <x:v>68</x:v>
      </x:c>
      <x:c r="C182" s="3" t="s">
        <x:v>17</x:v>
      </x:c>
      <x:c r="D182" s="3" t="s">
        <x:v>18</x:v>
      </x:c>
      <x:c r="E182" s="3" t="s">
        <x:v>19</x:v>
      </x:c>
      <x:c r="F182" s="4">
        <x:v>0.61199999999999999</x:v>
      </x:c>
      <x:c r="G182" s="16" t="n">
        <x:v>250</x:v>
      </x:c>
      <x:c r="H182" s="16">
        <x:v>0.17199999999999999</x:v>
      </x:c>
      <x:c r="I182" s="17">
        <x:v>20</x:v>
      </x:c>
      <x:c r="J182" s="16" t="n">
        <x:v>42000</x:v>
      </x:c>
      <x:c r="K182" s="18" t="n">
        <x:f>ROUND(F182*G182,0)</x:f>
        <x:v>153</x:v>
      </x:c>
      <x:c r="L182" s="18" t="n">
        <x:f>ROUND(H182*J182,0)</x:f>
        <x:v>7224</x:v>
      </x:c>
      <x:c r="M182" s="18" t="n">
        <x:f>ROUND(F182*1850,0)</x:f>
        <x:v>1132</x:v>
      </x:c>
      <x:c r="N182" s="18" t="n">
        <x:f>SUM(K182:M182)</x:f>
        <x:v>8509</x:v>
      </x:c>
      <x:c r="O182" s="18" t="n">
        <x:f>ROUND(N182*3%,0)</x:f>
        <x:v>255</x:v>
      </x:c>
      <x:c r="P182" s="18" t="n">
        <x:f>N182+O182</x:f>
        <x:v>8764</x:v>
      </x:c>
    </x:row>
    <x:row r="183" ht="24" customHeight="1">
      <x:c r="A183" s="7"/>
      <x:c r="B183" s="7"/>
      <x:c r="C183" s="3" t="s">
        <x:v>20</x:v>
      </x:c>
      <x:c r="D183" s="3" t="s">
        <x:v>21</x:v>
      </x:c>
      <x:c r="E183" s="7"/>
      <x:c r="F183" s="4">
        <x:v>0.68400000000000005</x:v>
      </x:c>
      <x:c r="G183" s="19" t="n">
        <x:v>5790</x:v>
      </x:c>
      <x:c r="H183" s="20"/>
      <x:c r="I183" s="20"/>
      <x:c r="J183" s="20"/>
      <x:c r="K183" s="18" t="n">
        <x:f>ROUND(F183*G183,0)</x:f>
        <x:v>3960</x:v>
      </x:c>
      <x:c r="L183" s="18" t="n">
        <x:f>ROUND(H182*J182,0)</x:f>
        <x:v>7224</x:v>
      </x:c>
      <x:c r="M183" s="18" t="n">
        <x:f>ROUND(F183*1850,0)</x:f>
        <x:v>1265</x:v>
      </x:c>
      <x:c r="N183" s="18" t="n">
        <x:f>SUM(K183:M183)</x:f>
        <x:v>12449</x:v>
      </x:c>
      <x:c r="O183" s="18" t="n">
        <x:f>ROUND(N183*3%,0)</x:f>
        <x:v>373</x:v>
      </x:c>
      <x:c r="P183" s="18" t="n">
        <x:f>N183+O183</x:f>
        <x:v>12822</x:v>
      </x:c>
    </x:row>
    <x:row r="184" ht="24" customHeight="1">
      <x:c r="A184" s="7"/>
      <x:c r="B184" s="7"/>
      <x:c r="C184" s="3" t="s">
        <x:v>20</x:v>
      </x:c>
      <x:c r="D184" s="3" t="s">
        <x:v>22</x:v>
      </x:c>
      <x:c r="E184" s="7"/>
      <x:c r="F184" s="4">
        <x:v>0.76500000000000001</x:v>
      </x:c>
      <x:c r="G184" s="19" t="n">
        <x:v>9003</x:v>
      </x:c>
      <x:c r="H184" s="20"/>
      <x:c r="I184" s="20"/>
      <x:c r="J184" s="20"/>
      <x:c r="K184" s="18" t="n">
        <x:f>ROUND(F184*G184,0)</x:f>
        <x:v>6887</x:v>
      </x:c>
      <x:c r="L184" s="18" t="n">
        <x:f>ROUND(H182*J182,0)</x:f>
        <x:v>7224</x:v>
      </x:c>
      <x:c r="M184" s="18" t="n">
        <x:f>ROUND(F184*1850,0)</x:f>
        <x:v>1415</x:v>
      </x:c>
      <x:c r="N184" s="18" t="n">
        <x:f>SUM(K184:M184)</x:f>
        <x:v>15526</x:v>
      </x:c>
      <x:c r="O184" s="18" t="n">
        <x:f>ROUND(N184*3%,0)</x:f>
        <x:v>466</x:v>
      </x:c>
      <x:c r="P184" s="18" t="n">
        <x:f>N184+O184</x:f>
        <x:v>15992</x:v>
      </x:c>
    </x:row>
    <x:row r="185" ht="24" customHeight="1">
      <x:c r="A185" s="9"/>
      <x:c r="B185" s="9"/>
      <x:c r="C185" s="3" t="s">
        <x:v>20</x:v>
      </x:c>
      <x:c r="D185" s="3" t="s">
        <x:v>23</x:v>
      </x:c>
      <x:c r="E185" s="9"/>
      <x:c r="F185" s="4">
        <x:v>0.9</x:v>
      </x:c>
      <x:c r="G185" s="21" t="n">
        <x:v>11576</x:v>
      </x:c>
      <x:c r="H185" s="22"/>
      <x:c r="I185" s="22"/>
      <x:c r="J185" s="22"/>
      <x:c r="K185" s="18" t="n">
        <x:f>ROUND(F185*G185,0)</x:f>
        <x:v>10418</x:v>
      </x:c>
      <x:c r="L185" s="18" t="n">
        <x:f>ROUND(H182*J182,0)</x:f>
        <x:v>7224</x:v>
      </x:c>
      <x:c r="M185" s="18" t="n">
        <x:f>ROUND(F185*1850,0)</x:f>
        <x:v>1665</x:v>
      </x:c>
      <x:c r="N185" s="18" t="n">
        <x:f>SUM(K185:M185)</x:f>
        <x:v>19307</x:v>
      </x:c>
      <x:c r="O185" s="18" t="n">
        <x:f>ROUND(N185*3%,0)</x:f>
        <x:v>579</x:v>
      </x:c>
      <x:c r="P185" s="18" t="n">
        <x:f>N185+O185</x:f>
        <x:v>19886</x:v>
      </x:c>
    </x:row>
    <x:row r="186" ht="24" customHeight="1">
      <x:c r="A186" s="2"/>
      <x:c r="B186" s="3" t="s">
        <x:v>69</x:v>
      </x:c>
      <x:c r="C186" s="3" t="s">
        <x:v>17</x:v>
      </x:c>
      <x:c r="D186" s="3" t="s">
        <x:v>18</x:v>
      </x:c>
      <x:c r="E186" s="3" t="s">
        <x:v>19</x:v>
      </x:c>
      <x:c r="F186" s="4">
        <x:v>0.748</x:v>
      </x:c>
      <x:c r="G186" s="16" t="n">
        <x:v>250</x:v>
      </x:c>
      <x:c r="H186" s="16">
        <x:v>1</x:v>
      </x:c>
      <x:c r="I186" s="17">
        <x:v>1</x:v>
      </x:c>
      <x:c r="J186" s="16" t="n">
        <x:v>42000</x:v>
      </x:c>
      <x:c r="K186" s="18" t="n">
        <x:f>ROUND(F186*G186,0)</x:f>
        <x:v>187</x:v>
      </x:c>
      <x:c r="L186" s="18" t="n">
        <x:f>ROUND(H186*J186,0)</x:f>
        <x:v>42000</x:v>
      </x:c>
      <x:c r="M186" s="18" t="n">
        <x:f>ROUND(F186*1850,0)</x:f>
        <x:v>1384</x:v>
      </x:c>
      <x:c r="N186" s="18" t="n">
        <x:f>SUM(K186:M186)</x:f>
        <x:v>43571</x:v>
      </x:c>
      <x:c r="O186" s="18" t="n">
        <x:f>ROUND(N186*3%,0)</x:f>
        <x:v>1307</x:v>
      </x:c>
      <x:c r="P186" s="18" t="n">
        <x:f>N186+O186</x:f>
        <x:v>44878</x:v>
      </x:c>
    </x:row>
    <x:row r="187" ht="24" customHeight="1">
      <x:c r="A187" s="7"/>
      <x:c r="B187" s="7"/>
      <x:c r="C187" s="3" t="s">
        <x:v>20</x:v>
      </x:c>
      <x:c r="D187" s="3" t="s">
        <x:v>21</x:v>
      </x:c>
      <x:c r="E187" s="7"/>
      <x:c r="F187" s="4">
        <x:v>0.83599999999999997</x:v>
      </x:c>
      <x:c r="G187" s="19" t="n">
        <x:v>5790</x:v>
      </x:c>
      <x:c r="H187" s="20"/>
      <x:c r="I187" s="20"/>
      <x:c r="J187" s="20"/>
      <x:c r="K187" s="18" t="n">
        <x:f>ROUND(F187*G187,0)</x:f>
        <x:v>4840</x:v>
      </x:c>
      <x:c r="L187" s="18" t="n">
        <x:f>ROUND(H186*J186,0)</x:f>
        <x:v>42000</x:v>
      </x:c>
      <x:c r="M187" s="18" t="n">
        <x:f>ROUND(F187*1850,0)</x:f>
        <x:v>1547</x:v>
      </x:c>
      <x:c r="N187" s="18" t="n">
        <x:f>SUM(K187:M187)</x:f>
        <x:v>48387</x:v>
      </x:c>
      <x:c r="O187" s="18" t="n">
        <x:f>ROUND(N187*3%,0)</x:f>
        <x:v>1452</x:v>
      </x:c>
      <x:c r="P187" s="18" t="n">
        <x:f>N187+O187</x:f>
        <x:v>49839</x:v>
      </x:c>
    </x:row>
    <x:row r="188" ht="24" customHeight="1">
      <x:c r="A188" s="7"/>
      <x:c r="B188" s="7"/>
      <x:c r="C188" s="3" t="s">
        <x:v>20</x:v>
      </x:c>
      <x:c r="D188" s="3" t="s">
        <x:v>22</x:v>
      </x:c>
      <x:c r="E188" s="7"/>
      <x:c r="F188" s="4">
        <x:v>0.93500000000000005</x:v>
      </x:c>
      <x:c r="G188" s="19" t="n">
        <x:v>9003</x:v>
      </x:c>
      <x:c r="H188" s="20"/>
      <x:c r="I188" s="20"/>
      <x:c r="J188" s="20"/>
      <x:c r="K188" s="18" t="n">
        <x:f>ROUND(F188*G188,0)</x:f>
        <x:v>8418</x:v>
      </x:c>
      <x:c r="L188" s="18" t="n">
        <x:f>ROUND(H186*J186,0)</x:f>
        <x:v>42000</x:v>
      </x:c>
      <x:c r="M188" s="18" t="n">
        <x:f>ROUND(F188*1850,0)</x:f>
        <x:v>1730</x:v>
      </x:c>
      <x:c r="N188" s="18" t="n">
        <x:f>SUM(K188:M188)</x:f>
        <x:v>52148</x:v>
      </x:c>
      <x:c r="O188" s="18" t="n">
        <x:f>ROUND(N188*3%,0)</x:f>
        <x:v>1564</x:v>
      </x:c>
      <x:c r="P188" s="18" t="n">
        <x:f>N188+O188</x:f>
        <x:v>53712</x:v>
      </x:c>
    </x:row>
    <x:row r="189" ht="24" customHeight="1">
      <x:c r="A189" s="9"/>
      <x:c r="B189" s="9"/>
      <x:c r="C189" s="3" t="s">
        <x:v>20</x:v>
      </x:c>
      <x:c r="D189" s="3" t="s">
        <x:v>23</x:v>
      </x:c>
      <x:c r="E189" s="9"/>
      <x:c r="F189" s="4">
        <x:v>1.1000000000000001</x:v>
      </x:c>
      <x:c r="G189" s="21" t="n">
        <x:v>11576</x:v>
      </x:c>
      <x:c r="H189" s="22"/>
      <x:c r="I189" s="22"/>
      <x:c r="J189" s="22"/>
      <x:c r="K189" s="18" t="n">
        <x:f>ROUND(F189*G189,0)</x:f>
        <x:v>12734</x:v>
      </x:c>
      <x:c r="L189" s="18" t="n">
        <x:f>ROUND(H186*J186,0)</x:f>
        <x:v>42000</x:v>
      </x:c>
      <x:c r="M189" s="18" t="n">
        <x:f>ROUND(F189*1850,0)</x:f>
        <x:v>2035</x:v>
      </x:c>
      <x:c r="N189" s="18" t="n">
        <x:f>SUM(K189:M189)</x:f>
        <x:v>56769</x:v>
      </x:c>
      <x:c r="O189" s="18" t="n">
        <x:f>ROUND(N189*3%,0)</x:f>
        <x:v>1703</x:v>
      </x:c>
      <x:c r="P189" s="18" t="n">
        <x:f>N189+O189</x:f>
        <x:v>58472</x:v>
      </x:c>
    </x:row>
    <x:row r="190" ht="24" customHeight="1">
      <x:c r="A190" s="2"/>
      <x:c r="B190" s="3" t="s">
        <x:v>70</x:v>
      </x:c>
      <x:c r="C190" s="3" t="s">
        <x:v>17</x:v>
      </x:c>
      <x:c r="D190" s="3" t="s">
        <x:v>18</x:v>
      </x:c>
      <x:c r="E190" s="3" t="s">
        <x:v>19</x:v>
      </x:c>
      <x:c r="F190" s="4">
        <x:v>1.1968000000000001</x:v>
      </x:c>
      <x:c r="G190" s="16" t="n">
        <x:v>250</x:v>
      </x:c>
      <x:c r="H190" s="16">
        <x:v>1.2</x:v>
      </x:c>
      <x:c r="I190" s="17">
        <x:v>21</x:v>
      </x:c>
      <x:c r="J190" s="16" t="n">
        <x:v>42000</x:v>
      </x:c>
      <x:c r="K190" s="18" t="n">
        <x:f>ROUND(F190*G190,0)</x:f>
        <x:v>299</x:v>
      </x:c>
      <x:c r="L190" s="18" t="n">
        <x:f>ROUND(H190*J190,0)</x:f>
        <x:v>50400</x:v>
      </x:c>
      <x:c r="M190" s="18" t="n">
        <x:f>ROUND(F190*1850,0)</x:f>
        <x:v>2214</x:v>
      </x:c>
      <x:c r="N190" s="18" t="n">
        <x:f>SUM(K190:M190)</x:f>
        <x:v>52913</x:v>
      </x:c>
      <x:c r="O190" s="18" t="n">
        <x:f>ROUND(N190*3%,0)</x:f>
        <x:v>1587</x:v>
      </x:c>
      <x:c r="P190" s="18" t="n">
        <x:f>N190+O190</x:f>
        <x:v>54500</x:v>
      </x:c>
    </x:row>
    <x:row r="191" ht="24" customHeight="1">
      <x:c r="A191" s="7"/>
      <x:c r="B191" s="7"/>
      <x:c r="C191" s="3" t="s">
        <x:v>20</x:v>
      </x:c>
      <x:c r="D191" s="3" t="s">
        <x:v>21</x:v>
      </x:c>
      <x:c r="E191" s="7"/>
      <x:c r="F191" s="4">
        <x:v>1.3375999999999999</x:v>
      </x:c>
      <x:c r="G191" s="19" t="n">
        <x:v>5790</x:v>
      </x:c>
      <x:c r="H191" s="20"/>
      <x:c r="I191" s="20"/>
      <x:c r="J191" s="20"/>
      <x:c r="K191" s="18" t="n">
        <x:f>ROUND(F191*G191,0)</x:f>
        <x:v>7745</x:v>
      </x:c>
      <x:c r="L191" s="18" t="n">
        <x:f>ROUND(H190*J190,0)</x:f>
        <x:v>50400</x:v>
      </x:c>
      <x:c r="M191" s="18" t="n">
        <x:f>ROUND(F191*1850,0)</x:f>
        <x:v>2475</x:v>
      </x:c>
      <x:c r="N191" s="18" t="n">
        <x:f>SUM(K191:M191)</x:f>
        <x:v>60620</x:v>
      </x:c>
      <x:c r="O191" s="18" t="n">
        <x:f>ROUND(N191*3%,0)</x:f>
        <x:v>1819</x:v>
      </x:c>
      <x:c r="P191" s="18" t="n">
        <x:f>N191+O191</x:f>
        <x:v>62439</x:v>
      </x:c>
    </x:row>
    <x:row r="192" ht="24" customHeight="1">
      <x:c r="A192" s="7"/>
      <x:c r="B192" s="7"/>
      <x:c r="C192" s="3" t="s">
        <x:v>20</x:v>
      </x:c>
      <x:c r="D192" s="3" t="s">
        <x:v>22</x:v>
      </x:c>
      <x:c r="E192" s="7"/>
      <x:c r="F192" s="4">
        <x:v>1.496</x:v>
      </x:c>
      <x:c r="G192" s="19" t="n">
        <x:v>9003</x:v>
      </x:c>
      <x:c r="H192" s="20"/>
      <x:c r="I192" s="20"/>
      <x:c r="J192" s="20"/>
      <x:c r="K192" s="18" t="n">
        <x:f>ROUND(F192*G192,0)</x:f>
        <x:v>13468</x:v>
      </x:c>
      <x:c r="L192" s="18" t="n">
        <x:f>ROUND(H190*J190,0)</x:f>
        <x:v>50400</x:v>
      </x:c>
      <x:c r="M192" s="18" t="n">
        <x:f>ROUND(F192*1850,0)</x:f>
        <x:v>2768</x:v>
      </x:c>
      <x:c r="N192" s="18" t="n">
        <x:f>SUM(K192:M192)</x:f>
        <x:v>66636</x:v>
      </x:c>
      <x:c r="O192" s="18" t="n">
        <x:f>ROUND(N192*3%,0)</x:f>
        <x:v>1999</x:v>
      </x:c>
      <x:c r="P192" s="18" t="n">
        <x:f>N192+O192</x:f>
        <x:v>68635</x:v>
      </x:c>
    </x:row>
    <x:row r="193" ht="24" customHeight="1">
      <x:c r="A193" s="9"/>
      <x:c r="B193" s="9"/>
      <x:c r="C193" s="3" t="s">
        <x:v>20</x:v>
      </x:c>
      <x:c r="D193" s="3" t="s">
        <x:v>23</x:v>
      </x:c>
      <x:c r="E193" s="9"/>
      <x:c r="F193" s="4">
        <x:v>1.76</x:v>
      </x:c>
      <x:c r="G193" s="21" t="n">
        <x:v>11576</x:v>
      </x:c>
      <x:c r="H193" s="22"/>
      <x:c r="I193" s="22"/>
      <x:c r="J193" s="22"/>
      <x:c r="K193" s="18" t="n">
        <x:f>ROUND(F193*G193,0)</x:f>
        <x:v>20374</x:v>
      </x:c>
      <x:c r="L193" s="18" t="n">
        <x:f>ROUND(H190*J190,0)</x:f>
        <x:v>50400</x:v>
      </x:c>
      <x:c r="M193" s="18" t="n">
        <x:f>ROUND(F193*1850,0)</x:f>
        <x:v>3256</x:v>
      </x:c>
      <x:c r="N193" s="18" t="n">
        <x:f>SUM(K193:M193)</x:f>
        <x:v>74030</x:v>
      </x:c>
      <x:c r="O193" s="18" t="n">
        <x:f>ROUND(N193*3%,0)</x:f>
        <x:v>2221</x:v>
      </x:c>
      <x:c r="P193" s="18" t="n">
        <x:f>N193+O193</x:f>
        <x:v>76251</x:v>
      </x:c>
    </x:row>
    <x:row r="194" ht="24" customHeight="1">
      <x:c r="A194" s="2"/>
      <x:c r="B194" s="3" t="s">
        <x:v>71</x:v>
      </x:c>
      <x:c r="C194" s="3" t="s">
        <x:v>17</x:v>
      </x:c>
      <x:c r="D194" s="3" t="s">
        <x:v>18</x:v>
      </x:c>
      <x:c r="E194" s="3" t="s">
        <x:v>19</x:v>
      </x:c>
      <x:c r="F194" s="4">
        <x:v>2.4615999999999998</x:v>
      </x:c>
      <x:c r="G194" s="16" t="n">
        <x:v>250</x:v>
      </x:c>
      <x:c r="H194" s="16">
        <x:v>3.22</x:v>
      </x:c>
      <x:c r="I194" s="17">
        <x:v>22</x:v>
      </x:c>
      <x:c r="J194" s="16" t="n">
        <x:v>42000</x:v>
      </x:c>
      <x:c r="K194" s="18" t="n">
        <x:f>ROUND(F194*G194,0)</x:f>
        <x:v>615</x:v>
      </x:c>
      <x:c r="L194" s="18" t="n">
        <x:f>ROUND(H194*J194,0)</x:f>
        <x:v>135240</x:v>
      </x:c>
      <x:c r="M194" s="18" t="n">
        <x:f>ROUND(F194*1850,0)</x:f>
        <x:v>4554</x:v>
      </x:c>
      <x:c r="N194" s="18" t="n">
        <x:f>SUM(K194:M194)</x:f>
        <x:v>140409</x:v>
      </x:c>
      <x:c r="O194" s="18" t="n">
        <x:f>ROUND(N194*3%,0)</x:f>
        <x:v>4212</x:v>
      </x:c>
      <x:c r="P194" s="18" t="n">
        <x:f>N194+O194</x:f>
        <x:v>144621</x:v>
      </x:c>
    </x:row>
    <x:row r="195" ht="24" customHeight="1">
      <x:c r="A195" s="7"/>
      <x:c r="B195" s="7"/>
      <x:c r="C195" s="3" t="s">
        <x:v>20</x:v>
      </x:c>
      <x:c r="D195" s="3" t="s">
        <x:v>21</x:v>
      </x:c>
      <x:c r="E195" s="7"/>
      <x:c r="F195" s="4">
        <x:v>2.7511999999999999</x:v>
      </x:c>
      <x:c r="G195" s="19" t="n">
        <x:v>5790</x:v>
      </x:c>
      <x:c r="H195" s="20"/>
      <x:c r="I195" s="20"/>
      <x:c r="J195" s="20"/>
      <x:c r="K195" s="18" t="n">
        <x:f>ROUND(F195*G195,0)</x:f>
        <x:v>15929</x:v>
      </x:c>
      <x:c r="L195" s="18" t="n">
        <x:f>ROUND(H194*J194,0)</x:f>
        <x:v>135240</x:v>
      </x:c>
      <x:c r="M195" s="18" t="n">
        <x:f>ROUND(F195*1850,0)</x:f>
        <x:v>5090</x:v>
      </x:c>
      <x:c r="N195" s="18" t="n">
        <x:f>SUM(K195:M195)</x:f>
        <x:v>156259</x:v>
      </x:c>
      <x:c r="O195" s="18" t="n">
        <x:f>ROUND(N195*3%,0)</x:f>
        <x:v>4688</x:v>
      </x:c>
      <x:c r="P195" s="18" t="n">
        <x:f>N195+O195</x:f>
        <x:v>160947</x:v>
      </x:c>
    </x:row>
    <x:row r="196" ht="24" customHeight="1">
      <x:c r="A196" s="7"/>
      <x:c r="B196" s="7"/>
      <x:c r="C196" s="3" t="s">
        <x:v>20</x:v>
      </x:c>
      <x:c r="D196" s="3" t="s">
        <x:v>22</x:v>
      </x:c>
      <x:c r="E196" s="7"/>
      <x:c r="F196" s="4">
        <x:v>3.077</x:v>
      </x:c>
      <x:c r="G196" s="19" t="n">
        <x:v>9003</x:v>
      </x:c>
      <x:c r="H196" s="20"/>
      <x:c r="I196" s="20"/>
      <x:c r="J196" s="20"/>
      <x:c r="K196" s="18" t="n">
        <x:f>ROUND(F196*G196,0)</x:f>
        <x:v>27702</x:v>
      </x:c>
      <x:c r="L196" s="18" t="n">
        <x:f>ROUND(H194*J194,0)</x:f>
        <x:v>135240</x:v>
      </x:c>
      <x:c r="M196" s="18" t="n">
        <x:f>ROUND(F196*1850,0)</x:f>
        <x:v>5692</x:v>
      </x:c>
      <x:c r="N196" s="18" t="n">
        <x:f>SUM(K196:M196)</x:f>
        <x:v>168634</x:v>
      </x:c>
      <x:c r="O196" s="18" t="n">
        <x:f>ROUND(N196*3%,0)</x:f>
        <x:v>5059</x:v>
      </x:c>
      <x:c r="P196" s="18" t="n">
        <x:f>N196+O196</x:f>
        <x:v>173693</x:v>
      </x:c>
    </x:row>
    <x:row r="197" ht="24" customHeight="1">
      <x:c r="A197" s="9"/>
      <x:c r="B197" s="9"/>
      <x:c r="C197" s="3" t="s">
        <x:v>20</x:v>
      </x:c>
      <x:c r="D197" s="3" t="s">
        <x:v>23</x:v>
      </x:c>
      <x:c r="E197" s="9"/>
      <x:c r="F197" s="4">
        <x:v>3.62</x:v>
      </x:c>
      <x:c r="G197" s="21" t="n">
        <x:v>11576</x:v>
      </x:c>
      <x:c r="H197" s="22"/>
      <x:c r="I197" s="22"/>
      <x:c r="J197" s="22"/>
      <x:c r="K197" s="18" t="n">
        <x:f>ROUND(F197*G197,0)</x:f>
        <x:v>41905</x:v>
      </x:c>
      <x:c r="L197" s="18" t="n">
        <x:f>ROUND(H194*J194,0)</x:f>
        <x:v>135240</x:v>
      </x:c>
      <x:c r="M197" s="18" t="n">
        <x:f>ROUND(F197*1850,0)</x:f>
        <x:v>6697</x:v>
      </x:c>
      <x:c r="N197" s="18" t="n">
        <x:f>SUM(K197:M197)</x:f>
        <x:v>183842</x:v>
      </x:c>
      <x:c r="O197" s="18" t="n">
        <x:f>ROUND(N197*3%,0)</x:f>
        <x:v>5515</x:v>
      </x:c>
      <x:c r="P197" s="18" t="n">
        <x:f>N197+O197</x:f>
        <x:v>189357</x:v>
      </x:c>
    </x:row>
    <x:row r="198" ht="24" customHeight="1">
      <x:c r="A198" s="2"/>
      <x:c r="B198" s="3" t="s">
        <x:v>72</x:v>
      </x:c>
      <x:c r="C198" s="3" t="s">
        <x:v>17</x:v>
      </x:c>
      <x:c r="D198" s="3" t="s">
        <x:v>18</x:v>
      </x:c>
      <x:c r="E198" s="3" t="s">
        <x:v>19</x:v>
      </x:c>
      <x:c r="F198" s="4">
        <x:v>0.81599999999999995</x:v>
      </x:c>
      <x:c r="G198" s="16" t="n">
        <x:v>250</x:v>
      </x:c>
      <x:c r="H198" s="16">
        <x:v>4.2999999999999997E-2</x:v>
      </x:c>
      <x:c r="I198" s="17">
        <x:v>4</x:v>
      </x:c>
      <x:c r="J198" s="16" t="n">
        <x:v>42000</x:v>
      </x:c>
      <x:c r="K198" s="18" t="n">
        <x:f>ROUND(F198*G198,0)</x:f>
        <x:v>204</x:v>
      </x:c>
      <x:c r="L198" s="18" t="n">
        <x:f>ROUND(H198*J198,0)</x:f>
        <x:v>1806</x:v>
      </x:c>
      <x:c r="M198" s="18" t="n">
        <x:f>ROUND(F198*1850,0)</x:f>
        <x:v>1510</x:v>
      </x:c>
      <x:c r="N198" s="18" t="n">
        <x:f>SUM(K198:M198)</x:f>
        <x:v>3520</x:v>
      </x:c>
      <x:c r="O198" s="18" t="n">
        <x:f>ROUND(N198*3%,0)</x:f>
        <x:v>106</x:v>
      </x:c>
      <x:c r="P198" s="18" t="n">
        <x:f>N198+O198</x:f>
        <x:v>3626</x:v>
      </x:c>
    </x:row>
    <x:row r="199" ht="24" customHeight="1">
      <x:c r="A199" s="7"/>
      <x:c r="B199" s="7"/>
      <x:c r="C199" s="3" t="s">
        <x:v>20</x:v>
      </x:c>
      <x:c r="D199" s="3" t="s">
        <x:v>21</x:v>
      </x:c>
      <x:c r="E199" s="7"/>
      <x:c r="F199" s="4">
        <x:v>0.91200000000000003</x:v>
      </x:c>
      <x:c r="G199" s="19" t="n">
        <x:v>5790</x:v>
      </x:c>
      <x:c r="H199" s="20"/>
      <x:c r="I199" s="20"/>
      <x:c r="J199" s="20"/>
      <x:c r="K199" s="18" t="n">
        <x:f>ROUND(F199*G199,0)</x:f>
        <x:v>5280</x:v>
      </x:c>
      <x:c r="L199" s="18" t="n">
        <x:f>ROUND(H198*J198,0)</x:f>
        <x:v>1806</x:v>
      </x:c>
      <x:c r="M199" s="18" t="n">
        <x:f>ROUND(F199*1850,0)</x:f>
        <x:v>1687</x:v>
      </x:c>
      <x:c r="N199" s="18" t="n">
        <x:f>SUM(K199:M199)</x:f>
        <x:v>8773</x:v>
      </x:c>
      <x:c r="O199" s="18" t="n">
        <x:f>ROUND(N199*3%,0)</x:f>
        <x:v>263</x:v>
      </x:c>
      <x:c r="P199" s="18" t="n">
        <x:f>N199+O199</x:f>
        <x:v>9036</x:v>
      </x:c>
    </x:row>
    <x:row r="200" ht="24" customHeight="1">
      <x:c r="A200" s="7"/>
      <x:c r="B200" s="7"/>
      <x:c r="C200" s="3" t="s">
        <x:v>20</x:v>
      </x:c>
      <x:c r="D200" s="3" t="s">
        <x:v>22</x:v>
      </x:c>
      <x:c r="E200" s="7"/>
      <x:c r="F200" s="4">
        <x:v>1.02</x:v>
      </x:c>
      <x:c r="G200" s="19" t="n">
        <x:v>9003</x:v>
      </x:c>
      <x:c r="H200" s="20"/>
      <x:c r="I200" s="20"/>
      <x:c r="J200" s="20"/>
      <x:c r="K200" s="18" t="n">
        <x:f>ROUND(F200*G200,0)</x:f>
        <x:v>9183</x:v>
      </x:c>
      <x:c r="L200" s="18" t="n">
        <x:f>ROUND(H198*J198,0)</x:f>
        <x:v>1806</x:v>
      </x:c>
      <x:c r="M200" s="18" t="n">
        <x:f>ROUND(F200*1850,0)</x:f>
        <x:v>1887</x:v>
      </x:c>
      <x:c r="N200" s="18" t="n">
        <x:f>SUM(K200:M200)</x:f>
        <x:v>12876</x:v>
      </x:c>
      <x:c r="O200" s="18" t="n">
        <x:f>ROUND(N200*3%,0)</x:f>
        <x:v>386</x:v>
      </x:c>
      <x:c r="P200" s="18" t="n">
        <x:f>N200+O200</x:f>
        <x:v>13262</x:v>
      </x:c>
    </x:row>
    <x:row r="201" ht="24" customHeight="1">
      <x:c r="A201" s="9"/>
      <x:c r="B201" s="9"/>
      <x:c r="C201" s="3" t="s">
        <x:v>20</x:v>
      </x:c>
      <x:c r="D201" s="3" t="s">
        <x:v>23</x:v>
      </x:c>
      <x:c r="E201" s="9"/>
      <x:c r="F201" s="4">
        <x:v>1.2</x:v>
      </x:c>
      <x:c r="G201" s="21" t="n">
        <x:v>11576</x:v>
      </x:c>
      <x:c r="H201" s="22"/>
      <x:c r="I201" s="22"/>
      <x:c r="J201" s="22"/>
      <x:c r="K201" s="18" t="n">
        <x:f>ROUND(F201*G201,0)</x:f>
        <x:v>13891</x:v>
      </x:c>
      <x:c r="L201" s="18" t="n">
        <x:f>ROUND(H198*J198,0)</x:f>
        <x:v>1806</x:v>
      </x:c>
      <x:c r="M201" s="18" t="n">
        <x:f>ROUND(F201*1850,0)</x:f>
        <x:v>2220</x:v>
      </x:c>
      <x:c r="N201" s="18" t="n">
        <x:f>SUM(K201:M201)</x:f>
        <x:v>17917</x:v>
      </x:c>
      <x:c r="O201" s="18" t="n">
        <x:f>ROUND(N201*3%,0)</x:f>
        <x:v>538</x:v>
      </x:c>
      <x:c r="P201" s="18" t="n">
        <x:f>N201+O201</x:f>
        <x:v>18455</x:v>
      </x:c>
    </x:row>
  </x:sheetData>
  <x:mergeCells>
    <x:mergeCell ref="A98:A101"/>
    <x:mergeCell ref="I2:I5"/>
    <x:mergeCell ref="E82:E85"/>
    <x:mergeCell ref="H50:H53"/>
    <x:mergeCell ref="B62:B65"/>
    <x:mergeCell ref="E10:E13"/>
    <x:mergeCell ref="B14:B17"/>
    <x:mergeCell ref="B70:B73"/>
    <x:mergeCell ref="I66:I69"/>
    <x:mergeCell ref="E98:E101"/>
    <x:mergeCell ref="E34:E37"/>
    <x:mergeCell ref="E62:E65"/>
    <x:mergeCell ref="I42:I45"/>
    <x:mergeCell ref="I94:I97"/>
    <x:mergeCell ref="E22:E25"/>
    <x:mergeCell ref="H18:H21"/>
    <x:mergeCell ref="I78:I81"/>
    <x:mergeCell ref="I6:I9"/>
    <x:mergeCell ref="I46:I49"/>
    <x:mergeCell ref="H54:H57"/>
    <x:mergeCell ref="I90:I93"/>
    <x:mergeCell ref="B22:B25"/>
    <x:mergeCell ref="E18:E21"/>
    <x:mergeCell ref="I74:I77"/>
    <x:mergeCell ref="A70:A73"/>
    <x:mergeCell ref="H82:H85"/>
    <x:mergeCell ref="I26:I29"/>
    <x:mergeCell ref="H78:H81"/>
    <x:mergeCell ref="B86:B89"/>
    <x:mergeCell ref="B94:B97"/>
    <x:mergeCell ref="E58:E61"/>
    <x:mergeCell ref="H6:H9"/>
    <x:mergeCell ref="B46:B49"/>
    <x:mergeCell ref="H98:H101"/>
    <x:mergeCell ref="A66:A69"/>
    <x:mergeCell ref="B98:B101"/>
    <x:mergeCell ref="I22:I25"/>
    <x:mergeCell ref="H74:H77"/>
    <x:mergeCell ref="H70:H73"/>
    <x:mergeCell ref="A6:A9"/>
    <x:mergeCell ref="A50:A53"/>
    <x:mergeCell ref="H46:H49"/>
    <x:mergeCell ref="B82:B85"/>
    <x:mergeCell ref="A86:A89"/>
    <x:mergeCell ref="B10:B13"/>
    <x:mergeCell ref="E46:E49"/>
    <x:mergeCell ref="H90:H93"/>
    <x:mergeCell ref="I14:I17"/>
    <x:mergeCell ref="A26:A29"/>
    <x:mergeCell ref="E86:E89"/>
    <x:mergeCell ref="B34:B37"/>
    <x:mergeCell ref="A42:A45"/>
    <x:mergeCell ref="B74:B77"/>
    <x:mergeCell ref="I82:I85"/>
    <x:mergeCell ref="H86:H89"/>
    <x:mergeCell ref="I10:I13"/>
    <x:mergeCell ref="I50:I53"/>
    <x:mergeCell ref="A38:A41"/>
    <x:mergeCell ref="I34:I37"/>
    <x:mergeCell ref="H42:H45"/>
    <x:mergeCell ref="A82:A85"/>
    <x:mergeCell ref="H14:H17"/>
    <x:mergeCell ref="B54:B57"/>
    <x:mergeCell ref="A58:A61"/>
    <x:mergeCell ref="A14:A17"/>
    <x:mergeCell ref="I38:I41"/>
    <x:mergeCell ref="A62:A65"/>
    <x:mergeCell ref="A2:A5"/>
    <x:mergeCell ref="B6:B9"/>
    <x:mergeCell ref="E2:E5"/>
    <x:mergeCell ref="I58:I61"/>
    <x:mergeCell ref="A10:A13"/>
    <x:mergeCell ref="A22:A25"/>
    <x:mergeCell ref="E26:E29"/>
    <x:mergeCell ref="H62:H65"/>
    <x:mergeCell ref="E66:E69"/>
    <x:mergeCell ref="B26:B29"/>
    <x:mergeCell ref="A34:A37"/>
    <x:mergeCell ref="E50:E53"/>
    <x:mergeCell ref="H30:H33"/>
    <x:mergeCell ref="H26:H29"/>
    <x:mergeCell ref="B18:B21"/>
    <x:mergeCell ref="H38:H41"/>
    <x:mergeCell ref="E42:E45"/>
    <x:mergeCell ref="H10:H13"/>
    <x:mergeCell ref="B2:B5"/>
    <x:mergeCell ref="B42:B45"/>
    <x:mergeCell ref="H58:H61"/>
    <x:mergeCell ref="B58:B61"/>
    <x:mergeCell ref="E6:E9"/>
    <x:mergeCell ref="H2:H5"/>
    <x:mergeCell ref="A90:A93"/>
    <x:mergeCell ref="A74:A77"/>
    <x:mergeCell ref="E94:E97"/>
    <x:mergeCell ref="E90:E93"/>
    <x:mergeCell ref="B38:B41"/>
    <x:mergeCell ref="I98:I101"/>
    <x:mergeCell ref="A18:A21"/>
    <x:mergeCell ref="E74:E77"/>
    <x:mergeCell ref="B78:B81"/>
    <x:mergeCell ref="B90:B93"/>
    <x:mergeCell ref="A94:A97"/>
    <x:mergeCell ref="I86:I89"/>
    <x:mergeCell ref="A78:A81"/>
    <x:mergeCell ref="E78:E81"/>
    <x:mergeCell ref="I62:I65"/>
    <x:mergeCell ref="H94:H97"/>
    <x:mergeCell ref="I18:I21"/>
    <x:mergeCell ref="E30:E33"/>
    <x:mergeCell ref="H22:H25"/>
    <x:mergeCell ref="H66:H69"/>
    <x:mergeCell ref="A46:A49"/>
    <x:mergeCell ref="E70:E73"/>
    <x:mergeCell ref="B30:B33"/>
    <x:mergeCell ref="E54:E57"/>
    <x:mergeCell ref="B66:B69"/>
    <x:mergeCell ref="E14:E17"/>
    <x:mergeCell ref="I30:I33"/>
    <x:mergeCell ref="I70:I73"/>
    <x:mergeCell ref="B50:B53"/>
    <x:mergeCell ref="H34:H37"/>
    <x:mergeCell ref="E38:E41"/>
    <x:mergeCell ref="A30:A33"/>
    <x:mergeCell ref="I54:I57"/>
    <x:mergeCell ref="A54:A57"/>
  </x:mergeCells>
  <x:pageMargins left="0.7" right="0.7" top="0.75" bottom="0.75" header="0.3" footer="0.3"/>
  <x:drawing xmlns:r="http://schemas.openxmlformats.org/officeDocument/2006/relationships" r:id="R0b05e0b75e2a446d"/>
</x:worksheet>
</file>